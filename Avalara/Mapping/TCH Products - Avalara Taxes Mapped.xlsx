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chid\Documents\worskpace\TCH_ORCHID\Avalara\Mapping\"/>
    </mc:Choice>
  </mc:AlternateContent>
  <xr:revisionPtr revIDLastSave="0" documentId="13_ncr:9_{541CB6ED-DEEB-45F2-BEB4-BD992D68763F}" xr6:coauthVersionLast="47" xr6:coauthVersionMax="47" xr10:uidLastSave="{00000000-0000-0000-0000-000000000000}"/>
  <bookViews>
    <workbookView xWindow="-28920" yWindow="-3540" windowWidth="29040" windowHeight="15720" xr2:uid="{8D1F6294-8537-48C6-802C-3B21708B8B08}"/>
  </bookViews>
  <sheets>
    <sheet name="Tax codes mapping" sheetId="1" r:id="rId1"/>
    <sheet name="Tax Codes" sheetId="3" r:id="rId2"/>
  </sheets>
  <definedNames>
    <definedName name="_xlnm._FilterDatabase" localSheetId="0" hidden="1">'Tax codes mapping'!$A$1:$F$122</definedName>
  </definedNames>
  <calcPr calcId="0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2" i="1"/>
</calcChain>
</file>

<file path=xl/sharedStrings.xml><?xml version="1.0" encoding="utf-8"?>
<sst xmlns="http://schemas.openxmlformats.org/spreadsheetml/2006/main" count="667" uniqueCount="312">
  <si>
    <t>Item Name</t>
  </si>
  <si>
    <t>Product Category</t>
  </si>
  <si>
    <t>Tax Code</t>
  </si>
  <si>
    <t>Tax Code Description</t>
  </si>
  <si>
    <t>a156g0000032J4aAAE</t>
  </si>
  <si>
    <t>Individual Education Subscription</t>
  </si>
  <si>
    <t>Education Subscription</t>
  </si>
  <si>
    <t>ST087650</t>
  </si>
  <si>
    <t>Training / Webinar / SaaS Platform / Subscription / No download</t>
  </si>
  <si>
    <t>a156g0000032LDeAAM</t>
  </si>
  <si>
    <t>ECCHO - Full Member Dues (Prorated for Goldman Sachs)</t>
  </si>
  <si>
    <t>Membership Dues</t>
  </si>
  <si>
    <t>OD020500</t>
  </si>
  <si>
    <t>Dues (Social, Fraternal, non-entertainment)</t>
  </si>
  <si>
    <t>a156g0000032MCNAA2</t>
  </si>
  <si>
    <t>ECCHO Associate Member Quarterly Dues ($20B up to $60B deposit tier)</t>
  </si>
  <si>
    <t>a156g0000032PS8AAM</t>
  </si>
  <si>
    <t>ECCHO Participating Member Dues (Prorated for TCF Acquisition)</t>
  </si>
  <si>
    <t>a156g0000032k2gAAA</t>
  </si>
  <si>
    <t>Recording: All You Wanted To Know About Check Adjustments</t>
  </si>
  <si>
    <t>Webinar/Webcast (Pre-recorded)</t>
  </si>
  <si>
    <t>ST087640</t>
  </si>
  <si>
    <t>Training / Webinar Only / SaaS Platform / Pre-recorded, Non-Subscription</t>
  </si>
  <si>
    <t>a156g0000035yhPAAQ</t>
  </si>
  <si>
    <t>ECCHO - Associate Membership</t>
  </si>
  <si>
    <t>a156g0000035yhRAAQ</t>
  </si>
  <si>
    <t>ECCHO - Placeholder Associate Membership Item</t>
  </si>
  <si>
    <t>a156g0000035yhSAAQ</t>
  </si>
  <si>
    <t>ECCHO - Placeholder Participating Membership</t>
  </si>
  <si>
    <t>a156g0000035yhkAAA</t>
  </si>
  <si>
    <t>What do I do when: Indorsement Claims</t>
  </si>
  <si>
    <t>Online Training</t>
  </si>
  <si>
    <t>ST087634</t>
  </si>
  <si>
    <t>a156g0000035yhpAAA</t>
  </si>
  <si>
    <t>What do I do when: RDC Indemnity 101</t>
  </si>
  <si>
    <t>a156g0000035yhqAAA</t>
  </si>
  <si>
    <t>What do I do when: Unauthorized Remotely Created Check (URCC)</t>
  </si>
  <si>
    <t>a156g0000035yhzAAA</t>
  </si>
  <si>
    <t>All About Check: Check Basics: What Every Banker Should Know</t>
  </si>
  <si>
    <t>a156g0000035yi4AAA</t>
  </si>
  <si>
    <t>NCP Exam Rollover Fee (early)</t>
  </si>
  <si>
    <t>Exam/Certification Fee</t>
  </si>
  <si>
    <t>ST080010</t>
  </si>
  <si>
    <t>Online Skill Assessments</t>
  </si>
  <si>
    <t>a156g0000035yi5AAA</t>
  </si>
  <si>
    <t>NCP Exam Rollover Fee (late)</t>
  </si>
  <si>
    <t>a156g0000035yi6AAA</t>
  </si>
  <si>
    <t>NCP 10th Anniversary Paper Weight</t>
  </si>
  <si>
    <t>Merchandise/Tangible Goods</t>
  </si>
  <si>
    <t>P0000000</t>
  </si>
  <si>
    <t>Tangible Personal Property (TPP)</t>
  </si>
  <si>
    <t>a156g0000035yi7AAA</t>
  </si>
  <si>
    <t>NCP 10th Anniversary Umbrella</t>
  </si>
  <si>
    <t>a156g0000035yiAAAQ</t>
  </si>
  <si>
    <t>NCP Leather Cord Keeper</t>
  </si>
  <si>
    <t>a156g0000035yiBAAQ</t>
  </si>
  <si>
    <t>All About Check: Check Scanning: Branch and Teller Capture</t>
  </si>
  <si>
    <t>a156g0000035yiFAAQ</t>
  </si>
  <si>
    <t>NCP Exam Rollover Fee (repeat)</t>
  </si>
  <si>
    <t>a156g0000035yiHAAQ</t>
  </si>
  <si>
    <t>NCP Sports Bag</t>
  </si>
  <si>
    <t>a156g0000035yiIAAQ</t>
  </si>
  <si>
    <t>All About Check: Uniform Commercial Code: Articles 3 &amp; 4</t>
  </si>
  <si>
    <t>a156g0000035yiKAAQ</t>
  </si>
  <si>
    <t>All About Check: Where is the Rule Book?</t>
  </si>
  <si>
    <t>a156g0000035yiPAAQ</t>
  </si>
  <si>
    <t>Recording: #UCC - Today's Trending Topics</t>
  </si>
  <si>
    <t>a156g0000035yiRAAQ</t>
  </si>
  <si>
    <t>Recording: Check Pain Points</t>
  </si>
  <si>
    <t>a156g0000035yiSAAQ</t>
  </si>
  <si>
    <t>Corporate Education Subscription</t>
  </si>
  <si>
    <t>a156g0000035yiaAAA</t>
  </si>
  <si>
    <t>NCP Session Application Fee</t>
  </si>
  <si>
    <t>Training/Workshop</t>
  </si>
  <si>
    <t>ST080000</t>
  </si>
  <si>
    <t>Training and Seminar</t>
  </si>
  <si>
    <t>a156g0000035yjOAAQ</t>
  </si>
  <si>
    <t>NCP Exam 2025</t>
  </si>
  <si>
    <t>a156g0000035yktAAA</t>
  </si>
  <si>
    <t>ECCHO - Full Member Dues</t>
  </si>
  <si>
    <t>a156g0000035ylBAAQ</t>
  </si>
  <si>
    <t>ECCHO - Participating Member Dues</t>
  </si>
  <si>
    <t>a156g0000035ylSAAQ</t>
  </si>
  <si>
    <t>ECCHO - Sponsored Member Dues</t>
  </si>
  <si>
    <t>a156g000004HXbIAAW</t>
  </si>
  <si>
    <t>NCP Power Bank</t>
  </si>
  <si>
    <t>a156g000004HbNyAAK</t>
  </si>
  <si>
    <t>NCP Golf Hat</t>
  </si>
  <si>
    <t>Merchandise - Clothing</t>
  </si>
  <si>
    <t>PC040100</t>
  </si>
  <si>
    <t>Clothing And Related Products (Business-To-Customer)-general</t>
  </si>
  <si>
    <t>a156g000004HlxDAAS</t>
  </si>
  <si>
    <t>Discount</t>
  </si>
  <si>
    <t>OD010000</t>
  </si>
  <si>
    <t>Discounts</t>
  </si>
  <si>
    <t>a156g000004Hly1AAC</t>
  </si>
  <si>
    <t>Check Adjustments Insights into Investigation Types (ITYPs)</t>
  </si>
  <si>
    <t>a156g000004Hly6AAC</t>
  </si>
  <si>
    <t>Principles and Concepts of Image Cash Letters and Electronic Check Adjustments</t>
  </si>
  <si>
    <t>a156g000004HsNaAAK</t>
  </si>
  <si>
    <t>Recording: Float in Today's Payments Industry</t>
  </si>
  <si>
    <t>a156g000004HwkbAAC</t>
  </si>
  <si>
    <t>Recording: All About ECI's</t>
  </si>
  <si>
    <t>a156g000004SxZnAAK</t>
  </si>
  <si>
    <t>5 for 4 NCP Workshop Bundle</t>
  </si>
  <si>
    <t>a156g000004Sz51AAC</t>
  </si>
  <si>
    <t>ECCHO Participating Member Join Fee (Reduced)</t>
  </si>
  <si>
    <t>a156g000004T0krAAC</t>
  </si>
  <si>
    <t>ECCHO Full Member Dues</t>
  </si>
  <si>
    <t>a156g000004T3suAAC</t>
  </si>
  <si>
    <t>NCP Exam Bundle - 3 for 2 (ECCHO Member Rate)</t>
  </si>
  <si>
    <t>a156g000004T4cqAAC</t>
  </si>
  <si>
    <t>Recording: HIDC Scenarios: Dup vs RDC</t>
  </si>
  <si>
    <t>a156g000004T5cmAAC</t>
  </si>
  <si>
    <t>2022 Prorated PM Dues (Central Bank MO)</t>
  </si>
  <si>
    <t>a156g000004T9qHAAS</t>
  </si>
  <si>
    <t>NCP Partnership - Silver Level</t>
  </si>
  <si>
    <t>Sponsorship</t>
  </si>
  <si>
    <t>SA030000</t>
  </si>
  <si>
    <t>Advertising Services - No Transfer of TPP</t>
  </si>
  <si>
    <t>a156g000004T9qRAAS</t>
  </si>
  <si>
    <t>NCP Partnership - Gold Level</t>
  </si>
  <si>
    <t>a156g000004T9qbAAC</t>
  </si>
  <si>
    <t>NCP Partnership - Diamond Level</t>
  </si>
  <si>
    <t>a156g000004T9qqAAC</t>
  </si>
  <si>
    <t>ECCHO Rules Book - Printed Advertisement</t>
  </si>
  <si>
    <t>Book/Manual</t>
  </si>
  <si>
    <t>PB100000</t>
  </si>
  <si>
    <t>Books / Manuals</t>
  </si>
  <si>
    <t>a156g000004TLVaAAO</t>
  </si>
  <si>
    <t>Recording: Learning to Navigate the FFIEC</t>
  </si>
  <si>
    <t>a156g000004TNTlAAO</t>
  </si>
  <si>
    <t>(A) ECCHO Reception</t>
  </si>
  <si>
    <t>Meal/Food Event</t>
  </si>
  <si>
    <t>SF096370</t>
  </si>
  <si>
    <t>Catering Services</t>
  </si>
  <si>
    <t>a156g000004TNU5AAO</t>
  </si>
  <si>
    <t>(B) ECCHO Operations Committee Meeting</t>
  </si>
  <si>
    <t>Conference/Event Registration</t>
  </si>
  <si>
    <t>OA020500</t>
  </si>
  <si>
    <t>Admissions / Events Other Than Entertainment or Amusement</t>
  </si>
  <si>
    <t>a156g000004TNUeAAO</t>
  </si>
  <si>
    <t>(C) ECCHO Roundtable</t>
  </si>
  <si>
    <t>a156g000004TZzzAAG</t>
  </si>
  <si>
    <t>Recording: X9 Standards for Check Image Exchange</t>
  </si>
  <si>
    <t>a156g000004Tx2MAAS</t>
  </si>
  <si>
    <t>Recording: UCC Warranties from A to U</t>
  </si>
  <si>
    <t>a156g000004aYYYAA2</t>
  </si>
  <si>
    <t>ECCHO - Full Member Dues (Prorated for First Citizens Bank)</t>
  </si>
  <si>
    <t>a156g000004ahuOAAQ</t>
  </si>
  <si>
    <t>NCP Exam Missed Proctor Appointment (In-Person)</t>
  </si>
  <si>
    <t>a156g000004ahunAAA</t>
  </si>
  <si>
    <t>NCP Exam Missed Proctor Appointment (OnVue)</t>
  </si>
  <si>
    <t>a156g000004r8x8AAA</t>
  </si>
  <si>
    <t>ECCHO Operations Meeting Sponsorship</t>
  </si>
  <si>
    <t>a156g000004rPkjAAE</t>
  </si>
  <si>
    <t>Recording: Understanding Check Returns</t>
  </si>
  <si>
    <t>a156g000004rPlwAAE</t>
  </si>
  <si>
    <t>Recording: What Should I Do When</t>
  </si>
  <si>
    <t>a156g0000055WeZAAU</t>
  </si>
  <si>
    <t>Recording: UCC Basics</t>
  </si>
  <si>
    <t>a156g0000055wdWAAQ</t>
  </si>
  <si>
    <t>ECCHO Associate Member Quarterly Dues ($60B up to $100B deposit tier)</t>
  </si>
  <si>
    <t>a156g0000056t3RAAQ</t>
  </si>
  <si>
    <t>ECCHO Participating Member Dues (Prorated for AA FCU)</t>
  </si>
  <si>
    <t>a156g00000572KTAAY</t>
  </si>
  <si>
    <t>a156g00000572KiAAI</t>
  </si>
  <si>
    <t>a156g0000057Zq8AAE</t>
  </si>
  <si>
    <t>Recording: Canadian Cheques Processing &amp; Clearing</t>
  </si>
  <si>
    <t>a156g0000057ySjAAI</t>
  </si>
  <si>
    <t>Recording: Duplicates and Impacts of Remote Deposit Capture</t>
  </si>
  <si>
    <t>a15Vy0000001jHdIAI</t>
  </si>
  <si>
    <t>2024 ECCHO Rules Book - Printed Advertisement</t>
  </si>
  <si>
    <t>a15Vy0000001jMTIAY</t>
  </si>
  <si>
    <t>2024 NCP Partnership - Platinum Level</t>
  </si>
  <si>
    <t>a15Vy000000AzAHIA0</t>
  </si>
  <si>
    <t>NCP Exam Retest Fee (current year)</t>
  </si>
  <si>
    <t>a15Vy000000XQwbIAG</t>
  </si>
  <si>
    <t>ECCHO Participating Member Dues (Prorated for EverBank, NA)</t>
  </si>
  <si>
    <t>a15Vy000000eBmLIAU</t>
  </si>
  <si>
    <t>All About Check: Check Fraud &amp; Risk Mitigation</t>
  </si>
  <si>
    <t>a15Vy000001cReZIAU</t>
  </si>
  <si>
    <t>NCP Exam Practice Test</t>
  </si>
  <si>
    <t>a15Vy000002IXQzIAO</t>
  </si>
  <si>
    <t>Recording: Exploring the ECCHO Rules</t>
  </si>
  <si>
    <t>a15Vy000003lAJxIAM</t>
  </si>
  <si>
    <t>2025 NCP Editorial Board Kick-Off Meeting</t>
  </si>
  <si>
    <t>a15Vy0000055ryTIAQ</t>
  </si>
  <si>
    <t>Spring 2025 ECCHO Operations Committee Meeting</t>
  </si>
  <si>
    <t>a15Vy0000055s05IAA</t>
  </si>
  <si>
    <t>ECCHO Operations Committee Meeting</t>
  </si>
  <si>
    <t>a15Vy0000055s06IAA</t>
  </si>
  <si>
    <t>ECCHO Roundtable Discussion</t>
  </si>
  <si>
    <t>a15Vy0000055s07IAA</t>
  </si>
  <si>
    <t>Welcome Reception</t>
  </si>
  <si>
    <t>a15Vy00000825VGIAY</t>
  </si>
  <si>
    <t>ECCHO Business Committee Meeting</t>
  </si>
  <si>
    <t>a15Vy00000825VHIAY</t>
  </si>
  <si>
    <t>ECCHO Business Committee Meeting (Virtual)</t>
  </si>
  <si>
    <t>a15Vy00000825VIIAY</t>
  </si>
  <si>
    <t>ECCHO/SVPCO Reception and Dinner</t>
  </si>
  <si>
    <t>a15Vy00000825VJIAY</t>
  </si>
  <si>
    <t>SVPCO Business Committee Meeting</t>
  </si>
  <si>
    <t>a15Vy00000825VKIAY</t>
  </si>
  <si>
    <t>SVPCO Business Committee Meeting (Virtual)</t>
  </si>
  <si>
    <t>a15Vy0000082LzpIAE</t>
  </si>
  <si>
    <t>Q2 ECCHO Business Committee Meeting and/or Q2 SVCPO Business Committee Meeting</t>
  </si>
  <si>
    <t>a15Vy000008hkMMIAY</t>
  </si>
  <si>
    <t>NCP Mouse Pad</t>
  </si>
  <si>
    <t>a15Vy000009X465IAC</t>
  </si>
  <si>
    <t>2025 NCP Cut Score Meeting</t>
  </si>
  <si>
    <t>a15Vy000009X47hIAC</t>
  </si>
  <si>
    <t>Day 1 Group Dinner</t>
  </si>
  <si>
    <t>a15Vy000009X47iIAC</t>
  </si>
  <si>
    <t>Day 1 Participation</t>
  </si>
  <si>
    <t>a15Vy000009X47jIAC</t>
  </si>
  <si>
    <t>Day 2 Group Dinner</t>
  </si>
  <si>
    <t>a15Vy000009X47kIAC</t>
  </si>
  <si>
    <t>Day 2 Participation</t>
  </si>
  <si>
    <t>a15Vy000009X47lIAC</t>
  </si>
  <si>
    <t>Day 3 Participation</t>
  </si>
  <si>
    <t>a15Vy000009ja2CIAQ</t>
  </si>
  <si>
    <t>All About Check: Remotely Created Check</t>
  </si>
  <si>
    <t>a15Vy00000BKp9hIAD</t>
  </si>
  <si>
    <t>All About Check: Cashiers Checks - Lost, Stolen or Destroyed</t>
  </si>
  <si>
    <t>a15Vy00000DCKxxIAH</t>
  </si>
  <si>
    <t>Recording: Combating Cashiers Check Fraud</t>
  </si>
  <si>
    <t>a15Vy00000GgYiVIAV</t>
  </si>
  <si>
    <t>Recording: Warranties, Rules &amp; Regulations for Check Fraud</t>
  </si>
  <si>
    <t>a15Vy00000Gnff7IAB</t>
  </si>
  <si>
    <t>Q4 ECCHO Business Committee Meeting and/or Q4 SVCPO Business Committee Meeting</t>
  </si>
  <si>
    <t>a15Vy00000GnfgjIAB</t>
  </si>
  <si>
    <t>a15Vy00000GnfgkIAB</t>
  </si>
  <si>
    <t>a15Vy00000GnfglIAB</t>
  </si>
  <si>
    <t>a15Vy00000GnfgmIAB</t>
  </si>
  <si>
    <t>a15Vy00000GnfgnIAB</t>
  </si>
  <si>
    <t>a15Vy00000LHfNeIAL</t>
  </si>
  <si>
    <t>Recording: The Reclamation Process with U.S. Treasury Checks</t>
  </si>
  <si>
    <t>a15Vy00000NtykfIAB</t>
  </si>
  <si>
    <t>2026 NCP Editorial Board Kick-Off Meeting</t>
  </si>
  <si>
    <t>a15Vy00000PJk8pIAD</t>
  </si>
  <si>
    <t>Overview of Check Returns and Exception Handling</t>
  </si>
  <si>
    <t>a15Vy00000PK5efIAD</t>
  </si>
  <si>
    <t>RDC Risk Management</t>
  </si>
  <si>
    <t>a15Vy00000QUNEjIAP</t>
  </si>
  <si>
    <t>Spring 2026 ECCHO Operations Committee Meeting</t>
  </si>
  <si>
    <t>a15Vy00000QVsYDIA1</t>
  </si>
  <si>
    <t>ECCHO Operations Committee Networking Reception</t>
  </si>
  <si>
    <t>a15Vy00000QVt1FIAT</t>
  </si>
  <si>
    <t>a15Vy00000QVtvhIAD</t>
  </si>
  <si>
    <t>ECCHO Operations Committee Roundtable</t>
  </si>
  <si>
    <t>a15Vy00000QWbdNIAT</t>
  </si>
  <si>
    <t>a15Vy00000QWluTIAT</t>
  </si>
  <si>
    <t>Q2 2026 SVPCO Business Committee Meeting</t>
  </si>
  <si>
    <t>a15Vy00000QWm8zIAD</t>
  </si>
  <si>
    <t>ECCHO/SVPCO Welcome Reception and Dinner</t>
  </si>
  <si>
    <t>a15Vy00000QWms9IAD</t>
  </si>
  <si>
    <t>Q2 2026 ECCHO Business Committee Meeting</t>
  </si>
  <si>
    <t>a15Vy00000QZAn7IAH</t>
  </si>
  <si>
    <t>Q2 2026 SVPCO Business Committee Meeting (virtual)</t>
  </si>
  <si>
    <t>a15Vy00000QZBODIA5</t>
  </si>
  <si>
    <t>Q2 2026 ECCHO Business Committee Meeting (virtual)</t>
  </si>
  <si>
    <t>a15Vy00000T0EgbIAF</t>
  </si>
  <si>
    <t>2026 NCP Cut Score Meeting</t>
  </si>
  <si>
    <t>a15Vy00000T0QkzIAF</t>
  </si>
  <si>
    <t>Day 1; June 3, 2026</t>
  </si>
  <si>
    <t>a15Vy00000T0QzVIAV</t>
  </si>
  <si>
    <t>Day 1; June 3, 2026 Group Dinner</t>
  </si>
  <si>
    <t>a15Vy00000T0RKTIA3</t>
  </si>
  <si>
    <t>Day 2; June 4, 2026</t>
  </si>
  <si>
    <t>a15Vy00000T0Rh3IAF</t>
  </si>
  <si>
    <t>Day 2; June 4, 2026 Group Dinner</t>
  </si>
  <si>
    <t>a15Vy00000T0RqjIAF</t>
  </si>
  <si>
    <t>Day 3; June 5, 2026</t>
  </si>
  <si>
    <t>Id</t>
  </si>
  <si>
    <t>Avalara_Tax_Code__c</t>
  </si>
  <si>
    <t>a15WE00000AhLmbYAF</t>
  </si>
  <si>
    <t>a15WE00000AhUBZYA3</t>
  </si>
  <si>
    <t>a15WE00000AhUBaYAN</t>
  </si>
  <si>
    <t>a15WE00000AhUBbYAN</t>
  </si>
  <si>
    <t>a15WE00000AhUBcYAN</t>
  </si>
  <si>
    <t>a15WE00000AhUBdYAN</t>
  </si>
  <si>
    <t>a15WE00000AhUBeYAN</t>
  </si>
  <si>
    <t>a15WE00000AhUBfYAN</t>
  </si>
  <si>
    <t>a15WE00000AhUBgYAN</t>
  </si>
  <si>
    <t>a15WE00000AhUBhYAN</t>
  </si>
  <si>
    <t>a15WE00000AhUBiYAN</t>
  </si>
  <si>
    <t>a15WE00000AhUBjYAN</t>
  </si>
  <si>
    <t>a15WE00000AhUBkYAN</t>
  </si>
  <si>
    <t>Avalara_Tax__c</t>
  </si>
  <si>
    <t>Name</t>
  </si>
  <si>
    <t>OrderApi__Description__c</t>
  </si>
  <si>
    <t>Tax: Pre-recorded Training</t>
  </si>
  <si>
    <t>Tax: Training / Webinar Only / SaaS Platform / Live, Non-Subscription</t>
  </si>
  <si>
    <t>Tax: Admissions / Events</t>
  </si>
  <si>
    <t>Tax: Admissions / Events Other Than Entertainment or Amusement</t>
  </si>
  <si>
    <t>Tax: Online Training</t>
  </si>
  <si>
    <t>Tax: Membership Dues</t>
  </si>
  <si>
    <t>Tax: Dues (Social, Fraternal, non-entertainment)</t>
  </si>
  <si>
    <t>Tax: Catering Services</t>
  </si>
  <si>
    <t>Tax: Online Skill Assessments</t>
  </si>
  <si>
    <t>Tax: Tangible Personal Property</t>
  </si>
  <si>
    <t>Tax: Tangible Personal Property (TPP)</t>
  </si>
  <si>
    <t>Tax: Advertising Services</t>
  </si>
  <si>
    <t>Tax: Advertising Services - No Transfer of TPP</t>
  </si>
  <si>
    <t>Tax: Training Subscription</t>
  </si>
  <si>
    <t>Tax: Training / Webinar / SaaS Platform / Subscription / No download</t>
  </si>
  <si>
    <t>Tax: Training and Seminar</t>
  </si>
  <si>
    <t>Tax: Books / Manuals</t>
  </si>
  <si>
    <t>Tax: Clothing</t>
  </si>
  <si>
    <t>Tax: Clothing And Related Products (Business-To-Customer)</t>
  </si>
  <si>
    <t>Tax: Discounts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</si>
</sst>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10D79-D67D-4236-87D2-DEA66246ACF3}">
  <dimension ref="A1:F122"/>
  <sheetViews>
    <sheetView tabSelected="1" topLeftCell="A49" workbookViewId="0">
      <selection activeCell="B1" sqref="B1"/>
    </sheetView>
  </sheetViews>
  <sheetFormatPr defaultRowHeight="15" x14ac:dyDescent="0.25"/>
  <cols>
    <col min="1" max="1" width="21.5703125" bestFit="1" customWidth="1"/>
    <col min="2" max="2" width="13.42578125" bestFit="1" customWidth="1"/>
    <col min="3" max="3" width="21.5703125" bestFit="1" customWidth="1"/>
    <col min="4" max="4" width="78.85546875" bestFit="1" customWidth="1"/>
    <col min="5" max="5" width="30.7109375" bestFit="1" customWidth="1"/>
    <col min="6" max="6" width="67.140625" bestFit="1" customWidth="1"/>
  </cols>
  <sheetData>
    <row r="1" spans="1:6" s="2" customFormat="1" x14ac:dyDescent="0.25">
      <c r="A1" s="2" t="s">
        <v>274</v>
      </c>
      <c r="B1" s="2" t="s">
        <v>2</v>
      </c>
      <c r="C1" s="2" t="s">
        <v>289</v>
      </c>
      <c r="D1" s="2" t="s">
        <v>0</v>
      </c>
      <c r="E1" s="2" t="s">
        <v>1</v>
      </c>
      <c r="F1" s="2" t="s">
        <v>3</v>
      </c>
    </row>
    <row r="2" spans="1:6" x14ac:dyDescent="0.25">
      <c r="A2" t="s">
        <v>4</v>
      </c>
      <c r="B2" t="s">
        <v>7</v>
      </c>
      <c r="C2" t="str">
        <f>VLOOKUP(B2,'Tax Codes'!A$2:D$14,2,FALSE)</f>
        <v>a15WE00000AhUBgYAN</v>
      </c>
      <c r="D2" t="s">
        <v>5</v>
      </c>
      <c r="E2" t="s">
        <v>6</v>
      </c>
      <c r="F2" t="s">
        <v>8</v>
      </c>
    </row>
    <row r="3" spans="1:6" x14ac:dyDescent="0.25">
      <c r="A3" t="s">
        <v>9</v>
      </c>
      <c r="B3" t="s">
        <v>12</v>
      </c>
      <c r="C3" t="str">
        <f>VLOOKUP(B3,'Tax Codes'!A$2:D$14,2,FALSE)</f>
        <v>a15WE00000AhUBbYAN</v>
      </c>
      <c r="D3" t="s">
        <v>10</v>
      </c>
      <c r="E3" t="s">
        <v>11</v>
      </c>
      <c r="F3" t="s">
        <v>13</v>
      </c>
    </row>
    <row r="4" spans="1:6" x14ac:dyDescent="0.25">
      <c r="A4" t="s">
        <v>14</v>
      </c>
      <c r="B4" t="s">
        <v>12</v>
      </c>
      <c r="C4" t="str">
        <f>VLOOKUP(B4,'Tax Codes'!A$2:D$14,2,FALSE)</f>
        <v>a15WE00000AhUBbYAN</v>
      </c>
      <c r="D4" t="s">
        <v>15</v>
      </c>
      <c r="E4" t="s">
        <v>11</v>
      </c>
      <c r="F4" t="s">
        <v>13</v>
      </c>
    </row>
    <row r="5" spans="1:6" x14ac:dyDescent="0.25">
      <c r="A5" t="s">
        <v>16</v>
      </c>
      <c r="B5" t="s">
        <v>12</v>
      </c>
      <c r="C5" t="str">
        <f>VLOOKUP(B5,'Tax Codes'!A$2:D$14,2,FALSE)</f>
        <v>a15WE00000AhUBbYAN</v>
      </c>
      <c r="D5" t="s">
        <v>17</v>
      </c>
      <c r="E5" t="s">
        <v>11</v>
      </c>
      <c r="F5" t="s">
        <v>13</v>
      </c>
    </row>
    <row r="6" spans="1:6" x14ac:dyDescent="0.25">
      <c r="A6" t="s">
        <v>18</v>
      </c>
      <c r="B6" t="s">
        <v>21</v>
      </c>
      <c r="C6" t="str">
        <f>VLOOKUP(B6,'Tax Codes'!A$2:D$14,2,FALSE)</f>
        <v>a15WE00000AhLmbYAF</v>
      </c>
      <c r="D6" t="s">
        <v>19</v>
      </c>
      <c r="E6" t="s">
        <v>20</v>
      </c>
      <c r="F6" t="s">
        <v>22</v>
      </c>
    </row>
    <row r="7" spans="1:6" x14ac:dyDescent="0.25">
      <c r="A7" t="s">
        <v>23</v>
      </c>
      <c r="B7" t="s">
        <v>12</v>
      </c>
      <c r="C7" t="str">
        <f>VLOOKUP(B7,'Tax Codes'!A$2:D$14,2,FALSE)</f>
        <v>a15WE00000AhUBbYAN</v>
      </c>
      <c r="D7" t="s">
        <v>24</v>
      </c>
      <c r="E7" t="s">
        <v>11</v>
      </c>
      <c r="F7" t="s">
        <v>13</v>
      </c>
    </row>
    <row r="8" spans="1:6" x14ac:dyDescent="0.25">
      <c r="A8" t="s">
        <v>25</v>
      </c>
      <c r="B8" t="s">
        <v>12</v>
      </c>
      <c r="C8" t="str">
        <f>VLOOKUP(B8,'Tax Codes'!A$2:D$14,2,FALSE)</f>
        <v>a15WE00000AhUBbYAN</v>
      </c>
      <c r="D8" t="s">
        <v>26</v>
      </c>
      <c r="E8" t="s">
        <v>11</v>
      </c>
      <c r="F8" t="s">
        <v>13</v>
      </c>
    </row>
    <row r="9" spans="1:6" x14ac:dyDescent="0.25">
      <c r="A9" t="s">
        <v>27</v>
      </c>
      <c r="B9" t="s">
        <v>12</v>
      </c>
      <c r="C9" t="str">
        <f>VLOOKUP(B9,'Tax Codes'!A$2:D$14,2,FALSE)</f>
        <v>a15WE00000AhUBbYAN</v>
      </c>
      <c r="D9" t="s">
        <v>28</v>
      </c>
      <c r="E9" t="s">
        <v>11</v>
      </c>
      <c r="F9" t="s">
        <v>13</v>
      </c>
    </row>
    <row r="10" spans="1:6" x14ac:dyDescent="0.25">
      <c r="A10" t="s">
        <v>29</v>
      </c>
      <c r="B10" t="s">
        <v>32</v>
      </c>
      <c r="C10" t="str">
        <f>VLOOKUP(B10,'Tax Codes'!A$2:D$14,2,FALSE)</f>
        <v>a15WE00000AhUBaYAN</v>
      </c>
      <c r="D10" t="s">
        <v>30</v>
      </c>
      <c r="E10" t="s">
        <v>31</v>
      </c>
      <c r="F10" t="s">
        <v>31</v>
      </c>
    </row>
    <row r="11" spans="1:6" x14ac:dyDescent="0.25">
      <c r="A11" t="s">
        <v>33</v>
      </c>
      <c r="B11" t="s">
        <v>32</v>
      </c>
      <c r="C11" t="str">
        <f>VLOOKUP(B11,'Tax Codes'!A$2:D$14,2,FALSE)</f>
        <v>a15WE00000AhUBaYAN</v>
      </c>
      <c r="D11" t="s">
        <v>34</v>
      </c>
      <c r="E11" t="s">
        <v>31</v>
      </c>
      <c r="F11" t="s">
        <v>31</v>
      </c>
    </row>
    <row r="12" spans="1:6" x14ac:dyDescent="0.25">
      <c r="A12" t="s">
        <v>35</v>
      </c>
      <c r="B12" t="s">
        <v>32</v>
      </c>
      <c r="C12" t="str">
        <f>VLOOKUP(B12,'Tax Codes'!A$2:D$14,2,FALSE)</f>
        <v>a15WE00000AhUBaYAN</v>
      </c>
      <c r="D12" t="s">
        <v>36</v>
      </c>
      <c r="E12" t="s">
        <v>31</v>
      </c>
      <c r="F12" t="s">
        <v>31</v>
      </c>
    </row>
    <row r="13" spans="1:6" x14ac:dyDescent="0.25">
      <c r="A13" t="s">
        <v>37</v>
      </c>
      <c r="B13" t="s">
        <v>32</v>
      </c>
      <c r="C13" t="str">
        <f>VLOOKUP(B13,'Tax Codes'!A$2:D$14,2,FALSE)</f>
        <v>a15WE00000AhUBaYAN</v>
      </c>
      <c r="D13" t="s">
        <v>38</v>
      </c>
      <c r="E13" t="s">
        <v>31</v>
      </c>
      <c r="F13" t="s">
        <v>31</v>
      </c>
    </row>
    <row r="14" spans="1:6" x14ac:dyDescent="0.25">
      <c r="A14" t="s">
        <v>39</v>
      </c>
      <c r="B14" t="s">
        <v>42</v>
      </c>
      <c r="C14" t="str">
        <f>VLOOKUP(B14,'Tax Codes'!A$2:D$14,2,FALSE)</f>
        <v>a15WE00000AhUBdYAN</v>
      </c>
      <c r="D14" t="s">
        <v>40</v>
      </c>
      <c r="E14" t="s">
        <v>41</v>
      </c>
      <c r="F14" t="s">
        <v>43</v>
      </c>
    </row>
    <row r="15" spans="1:6" x14ac:dyDescent="0.25">
      <c r="A15" t="s">
        <v>44</v>
      </c>
      <c r="B15" t="s">
        <v>42</v>
      </c>
      <c r="C15" t="str">
        <f>VLOOKUP(B15,'Tax Codes'!A$2:D$14,2,FALSE)</f>
        <v>a15WE00000AhUBdYAN</v>
      </c>
      <c r="D15" t="s">
        <v>45</v>
      </c>
      <c r="E15" t="s">
        <v>41</v>
      </c>
      <c r="F15" t="s">
        <v>43</v>
      </c>
    </row>
    <row r="16" spans="1:6" x14ac:dyDescent="0.25">
      <c r="A16" t="s">
        <v>46</v>
      </c>
      <c r="B16" t="s">
        <v>49</v>
      </c>
      <c r="C16" t="str">
        <f>VLOOKUP(B16,'Tax Codes'!A$2:D$14,2,FALSE)</f>
        <v>a15WE00000AhUBeYAN</v>
      </c>
      <c r="D16" t="s">
        <v>47</v>
      </c>
      <c r="E16" t="s">
        <v>48</v>
      </c>
      <c r="F16" t="s">
        <v>50</v>
      </c>
    </row>
    <row r="17" spans="1:6" x14ac:dyDescent="0.25">
      <c r="A17" t="s">
        <v>51</v>
      </c>
      <c r="B17" t="s">
        <v>49</v>
      </c>
      <c r="C17" t="str">
        <f>VLOOKUP(B17,'Tax Codes'!A$2:D$14,2,FALSE)</f>
        <v>a15WE00000AhUBeYAN</v>
      </c>
      <c r="D17" t="s">
        <v>52</v>
      </c>
      <c r="E17" t="s">
        <v>48</v>
      </c>
      <c r="F17" t="s">
        <v>50</v>
      </c>
    </row>
    <row r="18" spans="1:6" x14ac:dyDescent="0.25">
      <c r="A18" t="s">
        <v>53</v>
      </c>
      <c r="B18" t="s">
        <v>49</v>
      </c>
      <c r="C18" t="str">
        <f>VLOOKUP(B18,'Tax Codes'!A$2:D$14,2,FALSE)</f>
        <v>a15WE00000AhUBeYAN</v>
      </c>
      <c r="D18" t="s">
        <v>54</v>
      </c>
      <c r="E18" t="s">
        <v>48</v>
      </c>
      <c r="F18" t="s">
        <v>50</v>
      </c>
    </row>
    <row r="19" spans="1:6" x14ac:dyDescent="0.25">
      <c r="A19" t="s">
        <v>55</v>
      </c>
      <c r="B19" t="s">
        <v>32</v>
      </c>
      <c r="C19" t="str">
        <f>VLOOKUP(B19,'Tax Codes'!A$2:D$14,2,FALSE)</f>
        <v>a15WE00000AhUBaYAN</v>
      </c>
      <c r="D19" t="s">
        <v>56</v>
      </c>
      <c r="E19" t="s">
        <v>31</v>
      </c>
      <c r="F19" t="s">
        <v>31</v>
      </c>
    </row>
    <row r="20" spans="1:6" x14ac:dyDescent="0.25">
      <c r="A20" t="s">
        <v>57</v>
      </c>
      <c r="B20" t="s">
        <v>42</v>
      </c>
      <c r="C20" t="str">
        <f>VLOOKUP(B20,'Tax Codes'!A$2:D$14,2,FALSE)</f>
        <v>a15WE00000AhUBdYAN</v>
      </c>
      <c r="D20" t="s">
        <v>58</v>
      </c>
      <c r="E20" t="s">
        <v>41</v>
      </c>
      <c r="F20" t="s">
        <v>43</v>
      </c>
    </row>
    <row r="21" spans="1:6" x14ac:dyDescent="0.25">
      <c r="A21" t="s">
        <v>59</v>
      </c>
      <c r="B21" t="s">
        <v>49</v>
      </c>
      <c r="C21" t="str">
        <f>VLOOKUP(B21,'Tax Codes'!A$2:D$14,2,FALSE)</f>
        <v>a15WE00000AhUBeYAN</v>
      </c>
      <c r="D21" t="s">
        <v>60</v>
      </c>
      <c r="E21" t="s">
        <v>48</v>
      </c>
      <c r="F21" t="s">
        <v>50</v>
      </c>
    </row>
    <row r="22" spans="1:6" x14ac:dyDescent="0.25">
      <c r="A22" t="s">
        <v>61</v>
      </c>
      <c r="B22" t="s">
        <v>32</v>
      </c>
      <c r="C22" t="str">
        <f>VLOOKUP(B22,'Tax Codes'!A$2:D$14,2,FALSE)</f>
        <v>a15WE00000AhUBaYAN</v>
      </c>
      <c r="D22" t="s">
        <v>62</v>
      </c>
      <c r="E22" t="s">
        <v>31</v>
      </c>
      <c r="F22" t="s">
        <v>31</v>
      </c>
    </row>
    <row r="23" spans="1:6" x14ac:dyDescent="0.25">
      <c r="A23" t="s">
        <v>63</v>
      </c>
      <c r="B23" t="s">
        <v>32</v>
      </c>
      <c r="C23" t="str">
        <f>VLOOKUP(B23,'Tax Codes'!A$2:D$14,2,FALSE)</f>
        <v>a15WE00000AhUBaYAN</v>
      </c>
      <c r="D23" t="s">
        <v>64</v>
      </c>
      <c r="E23" t="s">
        <v>31</v>
      </c>
      <c r="F23" t="s">
        <v>31</v>
      </c>
    </row>
    <row r="24" spans="1:6" x14ac:dyDescent="0.25">
      <c r="A24" t="s">
        <v>65</v>
      </c>
      <c r="B24" t="s">
        <v>21</v>
      </c>
      <c r="C24" t="str">
        <f>VLOOKUP(B24,'Tax Codes'!A$2:D$14,2,FALSE)</f>
        <v>a15WE00000AhLmbYAF</v>
      </c>
      <c r="D24" t="s">
        <v>66</v>
      </c>
      <c r="E24" t="s">
        <v>20</v>
      </c>
      <c r="F24" t="s">
        <v>22</v>
      </c>
    </row>
    <row r="25" spans="1:6" x14ac:dyDescent="0.25">
      <c r="A25" t="s">
        <v>67</v>
      </c>
      <c r="B25" t="s">
        <v>21</v>
      </c>
      <c r="C25" t="str">
        <f>VLOOKUP(B25,'Tax Codes'!A$2:D$14,2,FALSE)</f>
        <v>a15WE00000AhLmbYAF</v>
      </c>
      <c r="D25" t="s">
        <v>68</v>
      </c>
      <c r="E25" t="s">
        <v>20</v>
      </c>
      <c r="F25" t="s">
        <v>22</v>
      </c>
    </row>
    <row r="26" spans="1:6" x14ac:dyDescent="0.25">
      <c r="A26" t="s">
        <v>69</v>
      </c>
      <c r="B26" t="s">
        <v>7</v>
      </c>
      <c r="C26" t="str">
        <f>VLOOKUP(B26,'Tax Codes'!A$2:D$14,2,FALSE)</f>
        <v>a15WE00000AhUBgYAN</v>
      </c>
      <c r="D26" t="s">
        <v>70</v>
      </c>
      <c r="E26" t="s">
        <v>6</v>
      </c>
      <c r="F26" t="s">
        <v>8</v>
      </c>
    </row>
    <row r="27" spans="1:6" x14ac:dyDescent="0.25">
      <c r="A27" t="s">
        <v>71</v>
      </c>
      <c r="B27" t="s">
        <v>74</v>
      </c>
      <c r="C27" t="str">
        <f>VLOOKUP(B27,'Tax Codes'!A$2:D$14,2,FALSE)</f>
        <v>a15WE00000AhUBhYAN</v>
      </c>
      <c r="D27" t="s">
        <v>72</v>
      </c>
      <c r="E27" t="s">
        <v>73</v>
      </c>
      <c r="F27" t="s">
        <v>75</v>
      </c>
    </row>
    <row r="28" spans="1:6" x14ac:dyDescent="0.25">
      <c r="A28" t="s">
        <v>76</v>
      </c>
      <c r="B28" t="s">
        <v>42</v>
      </c>
      <c r="C28" t="str">
        <f>VLOOKUP(B28,'Tax Codes'!A$2:D$14,2,FALSE)</f>
        <v>a15WE00000AhUBdYAN</v>
      </c>
      <c r="D28" t="s">
        <v>77</v>
      </c>
      <c r="E28" t="s">
        <v>41</v>
      </c>
      <c r="F28" t="s">
        <v>43</v>
      </c>
    </row>
    <row r="29" spans="1:6" x14ac:dyDescent="0.25">
      <c r="A29" t="s">
        <v>78</v>
      </c>
      <c r="B29" t="s">
        <v>12</v>
      </c>
      <c r="C29" t="str">
        <f>VLOOKUP(B29,'Tax Codes'!A$2:D$14,2,FALSE)</f>
        <v>a15WE00000AhUBbYAN</v>
      </c>
      <c r="D29" t="s">
        <v>79</v>
      </c>
      <c r="E29" t="s">
        <v>11</v>
      </c>
      <c r="F29" t="s">
        <v>13</v>
      </c>
    </row>
    <row r="30" spans="1:6" x14ac:dyDescent="0.25">
      <c r="A30" t="s">
        <v>80</v>
      </c>
      <c r="B30" t="s">
        <v>12</v>
      </c>
      <c r="C30" t="str">
        <f>VLOOKUP(B30,'Tax Codes'!A$2:D$14,2,FALSE)</f>
        <v>a15WE00000AhUBbYAN</v>
      </c>
      <c r="D30" t="s">
        <v>81</v>
      </c>
      <c r="E30" t="s">
        <v>11</v>
      </c>
      <c r="F30" t="s">
        <v>13</v>
      </c>
    </row>
    <row r="31" spans="1:6" x14ac:dyDescent="0.25">
      <c r="A31" t="s">
        <v>82</v>
      </c>
      <c r="B31" t="s">
        <v>12</v>
      </c>
      <c r="C31" t="str">
        <f>VLOOKUP(B31,'Tax Codes'!A$2:D$14,2,FALSE)</f>
        <v>a15WE00000AhUBbYAN</v>
      </c>
      <c r="D31" t="s">
        <v>83</v>
      </c>
      <c r="E31" t="s">
        <v>11</v>
      </c>
      <c r="F31" t="s">
        <v>13</v>
      </c>
    </row>
    <row r="32" spans="1:6" x14ac:dyDescent="0.25">
      <c r="A32" t="s">
        <v>84</v>
      </c>
      <c r="B32" t="s">
        <v>49</v>
      </c>
      <c r="C32" t="str">
        <f>VLOOKUP(B32,'Tax Codes'!A$2:D$14,2,FALSE)</f>
        <v>a15WE00000AhUBeYAN</v>
      </c>
      <c r="D32" t="s">
        <v>85</v>
      </c>
      <c r="E32" t="s">
        <v>48</v>
      </c>
      <c r="F32" t="s">
        <v>50</v>
      </c>
    </row>
    <row r="33" spans="1:6" x14ac:dyDescent="0.25">
      <c r="A33" t="s">
        <v>86</v>
      </c>
      <c r="B33" t="s">
        <v>89</v>
      </c>
      <c r="C33" t="str">
        <f>VLOOKUP(B33,'Tax Codes'!A$2:D$14,2,FALSE)</f>
        <v>a15WE00000AhUBjYAN</v>
      </c>
      <c r="D33" t="s">
        <v>87</v>
      </c>
      <c r="E33" t="s">
        <v>88</v>
      </c>
      <c r="F33" t="s">
        <v>90</v>
      </c>
    </row>
    <row r="34" spans="1:6" x14ac:dyDescent="0.25">
      <c r="A34" t="s">
        <v>91</v>
      </c>
      <c r="B34" t="s">
        <v>93</v>
      </c>
      <c r="C34" t="str">
        <f>VLOOKUP(B34,'Tax Codes'!A$2:D$14,2,FALSE)</f>
        <v>a15WE00000AhUBkYAN</v>
      </c>
      <c r="D34" t="s">
        <v>92</v>
      </c>
      <c r="E34" t="s">
        <v>92</v>
      </c>
      <c r="F34" t="s">
        <v>94</v>
      </c>
    </row>
    <row r="35" spans="1:6" x14ac:dyDescent="0.25">
      <c r="A35" t="s">
        <v>95</v>
      </c>
      <c r="B35" t="s">
        <v>32</v>
      </c>
      <c r="C35" t="str">
        <f>VLOOKUP(B35,'Tax Codes'!A$2:D$14,2,FALSE)</f>
        <v>a15WE00000AhUBaYAN</v>
      </c>
      <c r="D35" t="s">
        <v>96</v>
      </c>
      <c r="E35" t="s">
        <v>31</v>
      </c>
      <c r="F35" t="s">
        <v>31</v>
      </c>
    </row>
    <row r="36" spans="1:6" x14ac:dyDescent="0.25">
      <c r="A36" t="s">
        <v>97</v>
      </c>
      <c r="B36" t="s">
        <v>32</v>
      </c>
      <c r="C36" t="str">
        <f>VLOOKUP(B36,'Tax Codes'!A$2:D$14,2,FALSE)</f>
        <v>a15WE00000AhUBaYAN</v>
      </c>
      <c r="D36" t="s">
        <v>98</v>
      </c>
      <c r="E36" t="s">
        <v>31</v>
      </c>
      <c r="F36" t="s">
        <v>31</v>
      </c>
    </row>
    <row r="37" spans="1:6" x14ac:dyDescent="0.25">
      <c r="A37" t="s">
        <v>99</v>
      </c>
      <c r="B37" t="s">
        <v>21</v>
      </c>
      <c r="C37" t="str">
        <f>VLOOKUP(B37,'Tax Codes'!A$2:D$14,2,FALSE)</f>
        <v>a15WE00000AhLmbYAF</v>
      </c>
      <c r="D37" t="s">
        <v>100</v>
      </c>
      <c r="E37" t="s">
        <v>20</v>
      </c>
      <c r="F37" t="s">
        <v>22</v>
      </c>
    </row>
    <row r="38" spans="1:6" x14ac:dyDescent="0.25">
      <c r="A38" t="s">
        <v>101</v>
      </c>
      <c r="B38" t="s">
        <v>21</v>
      </c>
      <c r="C38" t="str">
        <f>VLOOKUP(B38,'Tax Codes'!A$2:D$14,2,FALSE)</f>
        <v>a15WE00000AhLmbYAF</v>
      </c>
      <c r="D38" t="s">
        <v>102</v>
      </c>
      <c r="E38" t="s">
        <v>20</v>
      </c>
      <c r="F38" t="s">
        <v>22</v>
      </c>
    </row>
    <row r="39" spans="1:6" x14ac:dyDescent="0.25">
      <c r="A39" t="s">
        <v>103</v>
      </c>
      <c r="B39" t="s">
        <v>74</v>
      </c>
      <c r="C39" t="str">
        <f>VLOOKUP(B39,'Tax Codes'!A$2:D$14,2,FALSE)</f>
        <v>a15WE00000AhUBhYAN</v>
      </c>
      <c r="D39" t="s">
        <v>104</v>
      </c>
      <c r="E39" t="s">
        <v>73</v>
      </c>
      <c r="F39" t="s">
        <v>75</v>
      </c>
    </row>
    <row r="40" spans="1:6" x14ac:dyDescent="0.25">
      <c r="A40" t="s">
        <v>105</v>
      </c>
      <c r="B40" t="s">
        <v>12</v>
      </c>
      <c r="C40" t="str">
        <f>VLOOKUP(B40,'Tax Codes'!A$2:D$14,2,FALSE)</f>
        <v>a15WE00000AhUBbYAN</v>
      </c>
      <c r="D40" t="s">
        <v>106</v>
      </c>
      <c r="E40" t="s">
        <v>11</v>
      </c>
      <c r="F40" t="s">
        <v>13</v>
      </c>
    </row>
    <row r="41" spans="1:6" x14ac:dyDescent="0.25">
      <c r="A41" t="s">
        <v>107</v>
      </c>
      <c r="B41" t="s">
        <v>12</v>
      </c>
      <c r="C41" t="str">
        <f>VLOOKUP(B41,'Tax Codes'!A$2:D$14,2,FALSE)</f>
        <v>a15WE00000AhUBbYAN</v>
      </c>
      <c r="D41" t="s">
        <v>108</v>
      </c>
      <c r="E41" t="s">
        <v>11</v>
      </c>
      <c r="F41" t="s">
        <v>13</v>
      </c>
    </row>
    <row r="42" spans="1:6" x14ac:dyDescent="0.25">
      <c r="A42" t="s">
        <v>109</v>
      </c>
      <c r="B42" t="s">
        <v>42</v>
      </c>
      <c r="C42" t="str">
        <f>VLOOKUP(B42,'Tax Codes'!A$2:D$14,2,FALSE)</f>
        <v>a15WE00000AhUBdYAN</v>
      </c>
      <c r="D42" t="s">
        <v>110</v>
      </c>
      <c r="E42" t="s">
        <v>41</v>
      </c>
      <c r="F42" t="s">
        <v>43</v>
      </c>
    </row>
    <row r="43" spans="1:6" x14ac:dyDescent="0.25">
      <c r="A43" t="s">
        <v>111</v>
      </c>
      <c r="B43" t="s">
        <v>21</v>
      </c>
      <c r="C43" t="str">
        <f>VLOOKUP(B43,'Tax Codes'!A$2:D$14,2,FALSE)</f>
        <v>a15WE00000AhLmbYAF</v>
      </c>
      <c r="D43" t="s">
        <v>112</v>
      </c>
      <c r="E43" t="s">
        <v>20</v>
      </c>
      <c r="F43" t="s">
        <v>22</v>
      </c>
    </row>
    <row r="44" spans="1:6" x14ac:dyDescent="0.25">
      <c r="A44" t="s">
        <v>113</v>
      </c>
      <c r="B44" t="s">
        <v>12</v>
      </c>
      <c r="C44" t="str">
        <f>VLOOKUP(B44,'Tax Codes'!A$2:D$14,2,FALSE)</f>
        <v>a15WE00000AhUBbYAN</v>
      </c>
      <c r="D44" t="s">
        <v>114</v>
      </c>
      <c r="E44" t="s">
        <v>11</v>
      </c>
      <c r="F44" t="s">
        <v>13</v>
      </c>
    </row>
    <row r="45" spans="1:6" x14ac:dyDescent="0.25">
      <c r="A45" t="s">
        <v>115</v>
      </c>
      <c r="B45" t="s">
        <v>118</v>
      </c>
      <c r="C45" t="str">
        <f>VLOOKUP(B45,'Tax Codes'!A$2:D$14,2,FALSE)</f>
        <v>a15WE00000AhUBfYAN</v>
      </c>
      <c r="D45" t="s">
        <v>116</v>
      </c>
      <c r="E45" t="s">
        <v>117</v>
      </c>
      <c r="F45" t="s">
        <v>119</v>
      </c>
    </row>
    <row r="46" spans="1:6" x14ac:dyDescent="0.25">
      <c r="A46" t="s">
        <v>120</v>
      </c>
      <c r="B46" t="s">
        <v>118</v>
      </c>
      <c r="C46" t="str">
        <f>VLOOKUP(B46,'Tax Codes'!A$2:D$14,2,FALSE)</f>
        <v>a15WE00000AhUBfYAN</v>
      </c>
      <c r="D46" t="s">
        <v>121</v>
      </c>
      <c r="E46" t="s">
        <v>117</v>
      </c>
      <c r="F46" t="s">
        <v>119</v>
      </c>
    </row>
    <row r="47" spans="1:6" x14ac:dyDescent="0.25">
      <c r="A47" t="s">
        <v>122</v>
      </c>
      <c r="B47" t="s">
        <v>118</v>
      </c>
      <c r="C47" t="str">
        <f>VLOOKUP(B47,'Tax Codes'!A$2:D$14,2,FALSE)</f>
        <v>a15WE00000AhUBfYAN</v>
      </c>
      <c r="D47" t="s">
        <v>123</v>
      </c>
      <c r="E47" t="s">
        <v>117</v>
      </c>
      <c r="F47" t="s">
        <v>119</v>
      </c>
    </row>
    <row r="48" spans="1:6" x14ac:dyDescent="0.25">
      <c r="A48" t="s">
        <v>124</v>
      </c>
      <c r="B48" t="s">
        <v>127</v>
      </c>
      <c r="C48" t="str">
        <f>VLOOKUP(B48,'Tax Codes'!A$2:D$14,2,FALSE)</f>
        <v>a15WE00000AhUBiYAN</v>
      </c>
      <c r="D48" t="s">
        <v>125</v>
      </c>
      <c r="E48" t="s">
        <v>126</v>
      </c>
      <c r="F48" t="s">
        <v>128</v>
      </c>
    </row>
    <row r="49" spans="1:6" x14ac:dyDescent="0.25">
      <c r="A49" t="s">
        <v>129</v>
      </c>
      <c r="B49" t="s">
        <v>21</v>
      </c>
      <c r="C49" t="str">
        <f>VLOOKUP(B49,'Tax Codes'!A$2:D$14,2,FALSE)</f>
        <v>a15WE00000AhLmbYAF</v>
      </c>
      <c r="D49" t="s">
        <v>130</v>
      </c>
      <c r="E49" t="s">
        <v>20</v>
      </c>
      <c r="F49" t="s">
        <v>22</v>
      </c>
    </row>
    <row r="50" spans="1:6" x14ac:dyDescent="0.25">
      <c r="A50" t="s">
        <v>131</v>
      </c>
      <c r="B50" t="s">
        <v>134</v>
      </c>
      <c r="C50" t="str">
        <f>VLOOKUP(B50,'Tax Codes'!A$2:D$14,2,FALSE)</f>
        <v>a15WE00000AhUBcYAN</v>
      </c>
      <c r="D50" t="s">
        <v>132</v>
      </c>
      <c r="E50" t="s">
        <v>133</v>
      </c>
      <c r="F50" t="s">
        <v>135</v>
      </c>
    </row>
    <row r="51" spans="1:6" x14ac:dyDescent="0.25">
      <c r="A51" t="s">
        <v>136</v>
      </c>
      <c r="B51" t="s">
        <v>139</v>
      </c>
      <c r="C51" t="str">
        <f>VLOOKUP(B51,'Tax Codes'!A$2:D$14,2,FALSE)</f>
        <v>a15WE00000AhUBZYA3</v>
      </c>
      <c r="D51" t="s">
        <v>137</v>
      </c>
      <c r="E51" t="s">
        <v>138</v>
      </c>
      <c r="F51" t="s">
        <v>140</v>
      </c>
    </row>
    <row r="52" spans="1:6" x14ac:dyDescent="0.25">
      <c r="A52" t="s">
        <v>141</v>
      </c>
      <c r="B52" t="s">
        <v>139</v>
      </c>
      <c r="C52" t="str">
        <f>VLOOKUP(B52,'Tax Codes'!A$2:D$14,2,FALSE)</f>
        <v>a15WE00000AhUBZYA3</v>
      </c>
      <c r="D52" t="s">
        <v>142</v>
      </c>
      <c r="E52" t="s">
        <v>138</v>
      </c>
      <c r="F52" t="s">
        <v>140</v>
      </c>
    </row>
    <row r="53" spans="1:6" x14ac:dyDescent="0.25">
      <c r="A53" t="s">
        <v>143</v>
      </c>
      <c r="B53" t="s">
        <v>21</v>
      </c>
      <c r="C53" t="str">
        <f>VLOOKUP(B53,'Tax Codes'!A$2:D$14,2,FALSE)</f>
        <v>a15WE00000AhLmbYAF</v>
      </c>
      <c r="D53" t="s">
        <v>144</v>
      </c>
      <c r="E53" t="s">
        <v>20</v>
      </c>
      <c r="F53" t="s">
        <v>22</v>
      </c>
    </row>
    <row r="54" spans="1:6" x14ac:dyDescent="0.25">
      <c r="A54" t="s">
        <v>145</v>
      </c>
      <c r="B54" t="s">
        <v>21</v>
      </c>
      <c r="C54" t="str">
        <f>VLOOKUP(B54,'Tax Codes'!A$2:D$14,2,FALSE)</f>
        <v>a15WE00000AhLmbYAF</v>
      </c>
      <c r="D54" t="s">
        <v>146</v>
      </c>
      <c r="E54" t="s">
        <v>20</v>
      </c>
      <c r="F54" t="s">
        <v>22</v>
      </c>
    </row>
    <row r="55" spans="1:6" x14ac:dyDescent="0.25">
      <c r="A55" t="s">
        <v>147</v>
      </c>
      <c r="B55" t="s">
        <v>12</v>
      </c>
      <c r="C55" t="str">
        <f>VLOOKUP(B55,'Tax Codes'!A$2:D$14,2,FALSE)</f>
        <v>a15WE00000AhUBbYAN</v>
      </c>
      <c r="D55" t="s">
        <v>148</v>
      </c>
      <c r="E55" t="s">
        <v>11</v>
      </c>
      <c r="F55" t="s">
        <v>13</v>
      </c>
    </row>
    <row r="56" spans="1:6" x14ac:dyDescent="0.25">
      <c r="A56" t="s">
        <v>149</v>
      </c>
      <c r="B56" t="s">
        <v>42</v>
      </c>
      <c r="C56" t="str">
        <f>VLOOKUP(B56,'Tax Codes'!A$2:D$14,2,FALSE)</f>
        <v>a15WE00000AhUBdYAN</v>
      </c>
      <c r="D56" t="s">
        <v>150</v>
      </c>
      <c r="E56" t="s">
        <v>41</v>
      </c>
      <c r="F56" t="s">
        <v>43</v>
      </c>
    </row>
    <row r="57" spans="1:6" x14ac:dyDescent="0.25">
      <c r="A57" t="s">
        <v>151</v>
      </c>
      <c r="B57" t="s">
        <v>42</v>
      </c>
      <c r="C57" t="str">
        <f>VLOOKUP(B57,'Tax Codes'!A$2:D$14,2,FALSE)</f>
        <v>a15WE00000AhUBdYAN</v>
      </c>
      <c r="D57" t="s">
        <v>152</v>
      </c>
      <c r="E57" t="s">
        <v>41</v>
      </c>
      <c r="F57" t="s">
        <v>43</v>
      </c>
    </row>
    <row r="58" spans="1:6" x14ac:dyDescent="0.25">
      <c r="A58" t="s">
        <v>153</v>
      </c>
      <c r="B58" t="s">
        <v>118</v>
      </c>
      <c r="C58" t="str">
        <f>VLOOKUP(B58,'Tax Codes'!A$2:D$14,2,FALSE)</f>
        <v>a15WE00000AhUBfYAN</v>
      </c>
      <c r="D58" t="s">
        <v>154</v>
      </c>
      <c r="E58" t="s">
        <v>117</v>
      </c>
      <c r="F58" t="s">
        <v>119</v>
      </c>
    </row>
    <row r="59" spans="1:6" x14ac:dyDescent="0.25">
      <c r="A59" t="s">
        <v>155</v>
      </c>
      <c r="B59" t="s">
        <v>21</v>
      </c>
      <c r="C59" t="str">
        <f>VLOOKUP(B59,'Tax Codes'!A$2:D$14,2,FALSE)</f>
        <v>a15WE00000AhLmbYAF</v>
      </c>
      <c r="D59" t="s">
        <v>156</v>
      </c>
      <c r="E59" t="s">
        <v>20</v>
      </c>
      <c r="F59" t="s">
        <v>22</v>
      </c>
    </row>
    <row r="60" spans="1:6" x14ac:dyDescent="0.25">
      <c r="A60" t="s">
        <v>157</v>
      </c>
      <c r="B60" t="s">
        <v>21</v>
      </c>
      <c r="C60" t="str">
        <f>VLOOKUP(B60,'Tax Codes'!A$2:D$14,2,FALSE)</f>
        <v>a15WE00000AhLmbYAF</v>
      </c>
      <c r="D60" t="s">
        <v>158</v>
      </c>
      <c r="E60" t="s">
        <v>20</v>
      </c>
      <c r="F60" t="s">
        <v>22</v>
      </c>
    </row>
    <row r="61" spans="1:6" x14ac:dyDescent="0.25">
      <c r="A61" t="s">
        <v>159</v>
      </c>
      <c r="B61" t="s">
        <v>21</v>
      </c>
      <c r="C61" t="str">
        <f>VLOOKUP(B61,'Tax Codes'!A$2:D$14,2,FALSE)</f>
        <v>a15WE00000AhLmbYAF</v>
      </c>
      <c r="D61" t="s">
        <v>160</v>
      </c>
      <c r="E61" t="s">
        <v>20</v>
      </c>
      <c r="F61" t="s">
        <v>22</v>
      </c>
    </row>
    <row r="62" spans="1:6" x14ac:dyDescent="0.25">
      <c r="A62" t="s">
        <v>161</v>
      </c>
      <c r="B62" t="s">
        <v>12</v>
      </c>
      <c r="C62" t="str">
        <f>VLOOKUP(B62,'Tax Codes'!A$2:D$14,2,FALSE)</f>
        <v>a15WE00000AhUBbYAN</v>
      </c>
      <c r="D62" t="s">
        <v>162</v>
      </c>
      <c r="E62" t="s">
        <v>11</v>
      </c>
      <c r="F62" t="s">
        <v>13</v>
      </c>
    </row>
    <row r="63" spans="1:6" x14ac:dyDescent="0.25">
      <c r="A63" t="s">
        <v>163</v>
      </c>
      <c r="B63" t="s">
        <v>12</v>
      </c>
      <c r="C63" t="str">
        <f>VLOOKUP(B63,'Tax Codes'!A$2:D$14,2,FALSE)</f>
        <v>a15WE00000AhUBbYAN</v>
      </c>
      <c r="D63" t="s">
        <v>164</v>
      </c>
      <c r="E63" t="s">
        <v>11</v>
      </c>
      <c r="F63" t="s">
        <v>13</v>
      </c>
    </row>
    <row r="64" spans="1:6" x14ac:dyDescent="0.25">
      <c r="A64" t="s">
        <v>165</v>
      </c>
      <c r="B64" t="s">
        <v>32</v>
      </c>
      <c r="C64" t="str">
        <f>VLOOKUP(B64,'Tax Codes'!A$2:D$14,2,FALSE)</f>
        <v>a15WE00000AhUBaYAN</v>
      </c>
      <c r="D64" t="s">
        <v>96</v>
      </c>
      <c r="E64" t="s">
        <v>31</v>
      </c>
      <c r="F64" t="s">
        <v>31</v>
      </c>
    </row>
    <row r="65" spans="1:6" x14ac:dyDescent="0.25">
      <c r="A65" t="s">
        <v>166</v>
      </c>
      <c r="B65" t="s">
        <v>32</v>
      </c>
      <c r="C65" t="str">
        <f>VLOOKUP(B65,'Tax Codes'!A$2:D$14,2,FALSE)</f>
        <v>a15WE00000AhUBaYAN</v>
      </c>
      <c r="D65" t="s">
        <v>98</v>
      </c>
      <c r="E65" t="s">
        <v>31</v>
      </c>
      <c r="F65" t="s">
        <v>31</v>
      </c>
    </row>
    <row r="66" spans="1:6" x14ac:dyDescent="0.25">
      <c r="A66" t="s">
        <v>167</v>
      </c>
      <c r="B66" t="s">
        <v>21</v>
      </c>
      <c r="C66" t="str">
        <f>VLOOKUP(B66,'Tax Codes'!A$2:D$14,2,FALSE)</f>
        <v>a15WE00000AhLmbYAF</v>
      </c>
      <c r="D66" t="s">
        <v>168</v>
      </c>
      <c r="E66" t="s">
        <v>20</v>
      </c>
      <c r="F66" t="s">
        <v>22</v>
      </c>
    </row>
    <row r="67" spans="1:6" x14ac:dyDescent="0.25">
      <c r="A67" t="s">
        <v>169</v>
      </c>
      <c r="B67" t="s">
        <v>21</v>
      </c>
      <c r="C67" t="str">
        <f>VLOOKUP(B67,'Tax Codes'!A$2:D$14,2,FALSE)</f>
        <v>a15WE00000AhLmbYAF</v>
      </c>
      <c r="D67" t="s">
        <v>170</v>
      </c>
      <c r="E67" t="s">
        <v>20</v>
      </c>
      <c r="F67" t="s">
        <v>22</v>
      </c>
    </row>
    <row r="68" spans="1:6" x14ac:dyDescent="0.25">
      <c r="A68" t="s">
        <v>171</v>
      </c>
      <c r="B68" t="s">
        <v>127</v>
      </c>
      <c r="C68" t="str">
        <f>VLOOKUP(B68,'Tax Codes'!A$2:D$14,2,FALSE)</f>
        <v>a15WE00000AhUBiYAN</v>
      </c>
      <c r="D68" t="s">
        <v>172</v>
      </c>
      <c r="E68" t="s">
        <v>126</v>
      </c>
      <c r="F68" t="s">
        <v>128</v>
      </c>
    </row>
    <row r="69" spans="1:6" x14ac:dyDescent="0.25">
      <c r="A69" t="s">
        <v>173</v>
      </c>
      <c r="B69" t="s">
        <v>118</v>
      </c>
      <c r="C69" t="str">
        <f>VLOOKUP(B69,'Tax Codes'!A$2:D$14,2,FALSE)</f>
        <v>a15WE00000AhUBfYAN</v>
      </c>
      <c r="D69" t="s">
        <v>174</v>
      </c>
      <c r="E69" t="s">
        <v>117</v>
      </c>
      <c r="F69" t="s">
        <v>119</v>
      </c>
    </row>
    <row r="70" spans="1:6" x14ac:dyDescent="0.25">
      <c r="A70" t="s">
        <v>175</v>
      </c>
      <c r="B70" t="s">
        <v>42</v>
      </c>
      <c r="C70" t="str">
        <f>VLOOKUP(B70,'Tax Codes'!A$2:D$14,2,FALSE)</f>
        <v>a15WE00000AhUBdYAN</v>
      </c>
      <c r="D70" t="s">
        <v>176</v>
      </c>
      <c r="E70" t="s">
        <v>41</v>
      </c>
      <c r="F70" t="s">
        <v>43</v>
      </c>
    </row>
    <row r="71" spans="1:6" x14ac:dyDescent="0.25">
      <c r="A71" t="s">
        <v>177</v>
      </c>
      <c r="B71" t="s">
        <v>12</v>
      </c>
      <c r="C71" t="str">
        <f>VLOOKUP(B71,'Tax Codes'!A$2:D$14,2,FALSE)</f>
        <v>a15WE00000AhUBbYAN</v>
      </c>
      <c r="D71" t="s">
        <v>178</v>
      </c>
      <c r="E71" t="s">
        <v>11</v>
      </c>
      <c r="F71" t="s">
        <v>13</v>
      </c>
    </row>
    <row r="72" spans="1:6" x14ac:dyDescent="0.25">
      <c r="A72" t="s">
        <v>179</v>
      </c>
      <c r="B72" t="s">
        <v>32</v>
      </c>
      <c r="C72" t="str">
        <f>VLOOKUP(B72,'Tax Codes'!A$2:D$14,2,FALSE)</f>
        <v>a15WE00000AhUBaYAN</v>
      </c>
      <c r="D72" t="s">
        <v>180</v>
      </c>
      <c r="E72" t="s">
        <v>31</v>
      </c>
      <c r="F72" t="s">
        <v>31</v>
      </c>
    </row>
    <row r="73" spans="1:6" x14ac:dyDescent="0.25">
      <c r="A73" t="s">
        <v>181</v>
      </c>
      <c r="B73" t="s">
        <v>42</v>
      </c>
      <c r="C73" t="str">
        <f>VLOOKUP(B73,'Tax Codes'!A$2:D$14,2,FALSE)</f>
        <v>a15WE00000AhUBdYAN</v>
      </c>
      <c r="D73" t="s">
        <v>182</v>
      </c>
      <c r="E73" t="s">
        <v>41</v>
      </c>
      <c r="F73" t="s">
        <v>43</v>
      </c>
    </row>
    <row r="74" spans="1:6" x14ac:dyDescent="0.25">
      <c r="A74" t="s">
        <v>183</v>
      </c>
      <c r="B74" t="s">
        <v>21</v>
      </c>
      <c r="C74" t="str">
        <f>VLOOKUP(B74,'Tax Codes'!A$2:D$14,2,FALSE)</f>
        <v>a15WE00000AhLmbYAF</v>
      </c>
      <c r="D74" t="s">
        <v>184</v>
      </c>
      <c r="E74" t="s">
        <v>20</v>
      </c>
      <c r="F74" t="s">
        <v>22</v>
      </c>
    </row>
    <row r="75" spans="1:6" x14ac:dyDescent="0.25">
      <c r="A75" t="s">
        <v>185</v>
      </c>
      <c r="B75" t="s">
        <v>139</v>
      </c>
      <c r="C75" t="str">
        <f>VLOOKUP(B75,'Tax Codes'!A$2:D$14,2,FALSE)</f>
        <v>a15WE00000AhUBZYA3</v>
      </c>
      <c r="D75" t="s">
        <v>186</v>
      </c>
      <c r="E75" t="s">
        <v>138</v>
      </c>
      <c r="F75" t="s">
        <v>140</v>
      </c>
    </row>
    <row r="76" spans="1:6" x14ac:dyDescent="0.25">
      <c r="A76" t="s">
        <v>187</v>
      </c>
      <c r="B76" t="s">
        <v>139</v>
      </c>
      <c r="C76" t="str">
        <f>VLOOKUP(B76,'Tax Codes'!A$2:D$14,2,FALSE)</f>
        <v>a15WE00000AhUBZYA3</v>
      </c>
      <c r="D76" t="s">
        <v>188</v>
      </c>
      <c r="E76" t="s">
        <v>138</v>
      </c>
      <c r="F76" t="s">
        <v>140</v>
      </c>
    </row>
    <row r="77" spans="1:6" x14ac:dyDescent="0.25">
      <c r="A77" t="s">
        <v>189</v>
      </c>
      <c r="B77" t="s">
        <v>139</v>
      </c>
      <c r="C77" t="str">
        <f>VLOOKUP(B77,'Tax Codes'!A$2:D$14,2,FALSE)</f>
        <v>a15WE00000AhUBZYA3</v>
      </c>
      <c r="D77" t="s">
        <v>190</v>
      </c>
      <c r="E77" t="s">
        <v>138</v>
      </c>
      <c r="F77" t="s">
        <v>140</v>
      </c>
    </row>
    <row r="78" spans="1:6" x14ac:dyDescent="0.25">
      <c r="A78" t="s">
        <v>191</v>
      </c>
      <c r="B78" t="s">
        <v>139</v>
      </c>
      <c r="C78" t="str">
        <f>VLOOKUP(B78,'Tax Codes'!A$2:D$14,2,FALSE)</f>
        <v>a15WE00000AhUBZYA3</v>
      </c>
      <c r="D78" t="s">
        <v>192</v>
      </c>
      <c r="E78" t="s">
        <v>138</v>
      </c>
      <c r="F78" t="s">
        <v>140</v>
      </c>
    </row>
    <row r="79" spans="1:6" x14ac:dyDescent="0.25">
      <c r="A79" t="s">
        <v>193</v>
      </c>
      <c r="B79" t="s">
        <v>134</v>
      </c>
      <c r="C79" t="str">
        <f>VLOOKUP(B79,'Tax Codes'!A$2:D$14,2,FALSE)</f>
        <v>a15WE00000AhUBcYAN</v>
      </c>
      <c r="D79" t="s">
        <v>194</v>
      </c>
      <c r="E79" t="s">
        <v>133</v>
      </c>
      <c r="F79" t="s">
        <v>135</v>
      </c>
    </row>
    <row r="80" spans="1:6" x14ac:dyDescent="0.25">
      <c r="A80" t="s">
        <v>195</v>
      </c>
      <c r="B80" t="s">
        <v>139</v>
      </c>
      <c r="C80" t="str">
        <f>VLOOKUP(B80,'Tax Codes'!A$2:D$14,2,FALSE)</f>
        <v>a15WE00000AhUBZYA3</v>
      </c>
      <c r="D80" t="s">
        <v>196</v>
      </c>
      <c r="E80" t="s">
        <v>138</v>
      </c>
      <c r="F80" t="s">
        <v>140</v>
      </c>
    </row>
    <row r="81" spans="1:6" x14ac:dyDescent="0.25">
      <c r="A81" t="s">
        <v>197</v>
      </c>
      <c r="B81" t="s">
        <v>139</v>
      </c>
      <c r="C81" t="str">
        <f>VLOOKUP(B81,'Tax Codes'!A$2:D$14,2,FALSE)</f>
        <v>a15WE00000AhUBZYA3</v>
      </c>
      <c r="D81" t="s">
        <v>198</v>
      </c>
      <c r="E81" t="s">
        <v>138</v>
      </c>
      <c r="F81" t="s">
        <v>140</v>
      </c>
    </row>
    <row r="82" spans="1:6" x14ac:dyDescent="0.25">
      <c r="A82" t="s">
        <v>199</v>
      </c>
      <c r="B82" t="s">
        <v>134</v>
      </c>
      <c r="C82" t="str">
        <f>VLOOKUP(B82,'Tax Codes'!A$2:D$14,2,FALSE)</f>
        <v>a15WE00000AhUBcYAN</v>
      </c>
      <c r="D82" t="s">
        <v>200</v>
      </c>
      <c r="E82" t="s">
        <v>133</v>
      </c>
      <c r="F82" t="s">
        <v>135</v>
      </c>
    </row>
    <row r="83" spans="1:6" x14ac:dyDescent="0.25">
      <c r="A83" t="s">
        <v>201</v>
      </c>
      <c r="B83" t="s">
        <v>139</v>
      </c>
      <c r="C83" t="str">
        <f>VLOOKUP(B83,'Tax Codes'!A$2:D$14,2,FALSE)</f>
        <v>a15WE00000AhUBZYA3</v>
      </c>
      <c r="D83" t="s">
        <v>202</v>
      </c>
      <c r="E83" t="s">
        <v>138</v>
      </c>
      <c r="F83" t="s">
        <v>140</v>
      </c>
    </row>
    <row r="84" spans="1:6" x14ac:dyDescent="0.25">
      <c r="A84" t="s">
        <v>203</v>
      </c>
      <c r="B84" t="s">
        <v>139</v>
      </c>
      <c r="C84" t="str">
        <f>VLOOKUP(B84,'Tax Codes'!A$2:D$14,2,FALSE)</f>
        <v>a15WE00000AhUBZYA3</v>
      </c>
      <c r="D84" t="s">
        <v>204</v>
      </c>
      <c r="E84" t="s">
        <v>138</v>
      </c>
      <c r="F84" t="s">
        <v>140</v>
      </c>
    </row>
    <row r="85" spans="1:6" x14ac:dyDescent="0.25">
      <c r="A85" t="s">
        <v>205</v>
      </c>
      <c r="B85" t="s">
        <v>139</v>
      </c>
      <c r="C85" t="str">
        <f>VLOOKUP(B85,'Tax Codes'!A$2:D$14,2,FALSE)</f>
        <v>a15WE00000AhUBZYA3</v>
      </c>
      <c r="D85" t="s">
        <v>206</v>
      </c>
      <c r="E85" t="s">
        <v>138</v>
      </c>
      <c r="F85" t="s">
        <v>140</v>
      </c>
    </row>
    <row r="86" spans="1:6" x14ac:dyDescent="0.25">
      <c r="A86" t="s">
        <v>207</v>
      </c>
      <c r="B86" t="s">
        <v>49</v>
      </c>
      <c r="C86" t="str">
        <f>VLOOKUP(B86,'Tax Codes'!A$2:D$14,2,FALSE)</f>
        <v>a15WE00000AhUBeYAN</v>
      </c>
      <c r="D86" t="s">
        <v>208</v>
      </c>
      <c r="E86" t="s">
        <v>48</v>
      </c>
      <c r="F86" t="s">
        <v>50</v>
      </c>
    </row>
    <row r="87" spans="1:6" x14ac:dyDescent="0.25">
      <c r="A87" t="s">
        <v>209</v>
      </c>
      <c r="B87" t="s">
        <v>139</v>
      </c>
      <c r="C87" t="str">
        <f>VLOOKUP(B87,'Tax Codes'!A$2:D$14,2,FALSE)</f>
        <v>a15WE00000AhUBZYA3</v>
      </c>
      <c r="D87" t="s">
        <v>210</v>
      </c>
      <c r="E87" t="s">
        <v>138</v>
      </c>
      <c r="F87" t="s">
        <v>140</v>
      </c>
    </row>
    <row r="88" spans="1:6" x14ac:dyDescent="0.25">
      <c r="A88" t="s">
        <v>211</v>
      </c>
      <c r="B88" t="s">
        <v>134</v>
      </c>
      <c r="C88" t="str">
        <f>VLOOKUP(B88,'Tax Codes'!A$2:D$14,2,FALSE)</f>
        <v>a15WE00000AhUBcYAN</v>
      </c>
      <c r="D88" t="s">
        <v>212</v>
      </c>
      <c r="E88" t="s">
        <v>133</v>
      </c>
      <c r="F88" t="s">
        <v>135</v>
      </c>
    </row>
    <row r="89" spans="1:6" x14ac:dyDescent="0.25">
      <c r="A89" t="s">
        <v>213</v>
      </c>
      <c r="B89" t="s">
        <v>139</v>
      </c>
      <c r="C89" t="str">
        <f>VLOOKUP(B89,'Tax Codes'!A$2:D$14,2,FALSE)</f>
        <v>a15WE00000AhUBZYA3</v>
      </c>
      <c r="D89" t="s">
        <v>214</v>
      </c>
      <c r="E89" t="s">
        <v>138</v>
      </c>
      <c r="F89" t="s">
        <v>140</v>
      </c>
    </row>
    <row r="90" spans="1:6" x14ac:dyDescent="0.25">
      <c r="A90" t="s">
        <v>215</v>
      </c>
      <c r="B90" t="s">
        <v>134</v>
      </c>
      <c r="C90" t="str">
        <f>VLOOKUP(B90,'Tax Codes'!A$2:D$14,2,FALSE)</f>
        <v>a15WE00000AhUBcYAN</v>
      </c>
      <c r="D90" t="s">
        <v>216</v>
      </c>
      <c r="E90" t="s">
        <v>133</v>
      </c>
      <c r="F90" t="s">
        <v>135</v>
      </c>
    </row>
    <row r="91" spans="1:6" x14ac:dyDescent="0.25">
      <c r="A91" t="s">
        <v>217</v>
      </c>
      <c r="B91" t="s">
        <v>139</v>
      </c>
      <c r="C91" t="str">
        <f>VLOOKUP(B91,'Tax Codes'!A$2:D$14,2,FALSE)</f>
        <v>a15WE00000AhUBZYA3</v>
      </c>
      <c r="D91" t="s">
        <v>218</v>
      </c>
      <c r="E91" t="s">
        <v>138</v>
      </c>
      <c r="F91" t="s">
        <v>140</v>
      </c>
    </row>
    <row r="92" spans="1:6" x14ac:dyDescent="0.25">
      <c r="A92" t="s">
        <v>219</v>
      </c>
      <c r="B92" t="s">
        <v>139</v>
      </c>
      <c r="C92" t="str">
        <f>VLOOKUP(B92,'Tax Codes'!A$2:D$14,2,FALSE)</f>
        <v>a15WE00000AhUBZYA3</v>
      </c>
      <c r="D92" t="s">
        <v>220</v>
      </c>
      <c r="E92" t="s">
        <v>138</v>
      </c>
      <c r="F92" t="s">
        <v>140</v>
      </c>
    </row>
    <row r="93" spans="1:6" x14ac:dyDescent="0.25">
      <c r="A93" t="s">
        <v>221</v>
      </c>
      <c r="B93" t="s">
        <v>32</v>
      </c>
      <c r="C93" t="str">
        <f>VLOOKUP(B93,'Tax Codes'!A$2:D$14,2,FALSE)</f>
        <v>a15WE00000AhUBaYAN</v>
      </c>
      <c r="D93" t="s">
        <v>222</v>
      </c>
      <c r="E93" t="s">
        <v>31</v>
      </c>
      <c r="F93" t="s">
        <v>31</v>
      </c>
    </row>
    <row r="94" spans="1:6" x14ac:dyDescent="0.25">
      <c r="A94" t="s">
        <v>223</v>
      </c>
      <c r="B94" t="s">
        <v>32</v>
      </c>
      <c r="C94" t="str">
        <f>VLOOKUP(B94,'Tax Codes'!A$2:D$14,2,FALSE)</f>
        <v>a15WE00000AhUBaYAN</v>
      </c>
      <c r="D94" t="s">
        <v>224</v>
      </c>
      <c r="E94" t="s">
        <v>31</v>
      </c>
      <c r="F94" t="s">
        <v>31</v>
      </c>
    </row>
    <row r="95" spans="1:6" x14ac:dyDescent="0.25">
      <c r="A95" t="s">
        <v>225</v>
      </c>
      <c r="B95" t="s">
        <v>21</v>
      </c>
      <c r="C95" t="str">
        <f>VLOOKUP(B95,'Tax Codes'!A$2:D$14,2,FALSE)</f>
        <v>a15WE00000AhLmbYAF</v>
      </c>
      <c r="D95" t="s">
        <v>226</v>
      </c>
      <c r="E95" t="s">
        <v>20</v>
      </c>
      <c r="F95" t="s">
        <v>22</v>
      </c>
    </row>
    <row r="96" spans="1:6" x14ac:dyDescent="0.25">
      <c r="A96" t="s">
        <v>227</v>
      </c>
      <c r="B96" t="s">
        <v>21</v>
      </c>
      <c r="C96" t="str">
        <f>VLOOKUP(B96,'Tax Codes'!A$2:D$14,2,FALSE)</f>
        <v>a15WE00000AhLmbYAF</v>
      </c>
      <c r="D96" t="s">
        <v>228</v>
      </c>
      <c r="E96" t="s">
        <v>20</v>
      </c>
      <c r="F96" t="s">
        <v>22</v>
      </c>
    </row>
    <row r="97" spans="1:6" x14ac:dyDescent="0.25">
      <c r="A97" t="s">
        <v>229</v>
      </c>
      <c r="B97" t="s">
        <v>139</v>
      </c>
      <c r="C97" t="str">
        <f>VLOOKUP(B97,'Tax Codes'!A$2:D$14,2,FALSE)</f>
        <v>a15WE00000AhUBZYA3</v>
      </c>
      <c r="D97" t="s">
        <v>230</v>
      </c>
      <c r="E97" t="s">
        <v>138</v>
      </c>
      <c r="F97" t="s">
        <v>140</v>
      </c>
    </row>
    <row r="98" spans="1:6" x14ac:dyDescent="0.25">
      <c r="A98" t="s">
        <v>231</v>
      </c>
      <c r="B98" t="s">
        <v>139</v>
      </c>
      <c r="C98" t="str">
        <f>VLOOKUP(B98,'Tax Codes'!A$2:D$14,2,FALSE)</f>
        <v>a15WE00000AhUBZYA3</v>
      </c>
      <c r="D98" t="s">
        <v>196</v>
      </c>
      <c r="E98" t="s">
        <v>138</v>
      </c>
      <c r="F98" t="s">
        <v>140</v>
      </c>
    </row>
    <row r="99" spans="1:6" x14ac:dyDescent="0.25">
      <c r="A99" t="s">
        <v>232</v>
      </c>
      <c r="B99" t="s">
        <v>139</v>
      </c>
      <c r="C99" t="str">
        <f>VLOOKUP(B99,'Tax Codes'!A$2:D$14,2,FALSE)</f>
        <v>a15WE00000AhUBZYA3</v>
      </c>
      <c r="D99" t="s">
        <v>198</v>
      </c>
      <c r="E99" t="s">
        <v>138</v>
      </c>
      <c r="F99" t="s">
        <v>140</v>
      </c>
    </row>
    <row r="100" spans="1:6" x14ac:dyDescent="0.25">
      <c r="A100" t="s">
        <v>233</v>
      </c>
      <c r="B100" t="s">
        <v>134</v>
      </c>
      <c r="C100" t="str">
        <f>VLOOKUP(B100,'Tax Codes'!A$2:D$14,2,FALSE)</f>
        <v>a15WE00000AhUBcYAN</v>
      </c>
      <c r="D100" t="s">
        <v>200</v>
      </c>
      <c r="E100" t="s">
        <v>133</v>
      </c>
      <c r="F100" t="s">
        <v>135</v>
      </c>
    </row>
    <row r="101" spans="1:6" x14ac:dyDescent="0.25">
      <c r="A101" t="s">
        <v>234</v>
      </c>
      <c r="B101" t="s">
        <v>139</v>
      </c>
      <c r="C101" t="str">
        <f>VLOOKUP(B101,'Tax Codes'!A$2:D$14,2,FALSE)</f>
        <v>a15WE00000AhUBZYA3</v>
      </c>
      <c r="D101" t="s">
        <v>202</v>
      </c>
      <c r="E101" t="s">
        <v>138</v>
      </c>
      <c r="F101" t="s">
        <v>140</v>
      </c>
    </row>
    <row r="102" spans="1:6" x14ac:dyDescent="0.25">
      <c r="A102" t="s">
        <v>235</v>
      </c>
      <c r="B102" t="s">
        <v>139</v>
      </c>
      <c r="C102" t="str">
        <f>VLOOKUP(B102,'Tax Codes'!A$2:D$14,2,FALSE)</f>
        <v>a15WE00000AhUBZYA3</v>
      </c>
      <c r="D102" t="s">
        <v>204</v>
      </c>
      <c r="E102" t="s">
        <v>138</v>
      </c>
      <c r="F102" t="s">
        <v>140</v>
      </c>
    </row>
    <row r="103" spans="1:6" x14ac:dyDescent="0.25">
      <c r="A103" t="s">
        <v>236</v>
      </c>
      <c r="B103" t="s">
        <v>21</v>
      </c>
      <c r="C103" t="str">
        <f>VLOOKUP(B103,'Tax Codes'!A$2:D$14,2,FALSE)</f>
        <v>a15WE00000AhLmbYAF</v>
      </c>
      <c r="D103" t="s">
        <v>237</v>
      </c>
      <c r="E103" t="s">
        <v>20</v>
      </c>
      <c r="F103" t="s">
        <v>22</v>
      </c>
    </row>
    <row r="104" spans="1:6" x14ac:dyDescent="0.25">
      <c r="A104" t="s">
        <v>238</v>
      </c>
      <c r="B104" t="s">
        <v>139</v>
      </c>
      <c r="C104" t="str">
        <f>VLOOKUP(B104,'Tax Codes'!A$2:D$14,2,FALSE)</f>
        <v>a15WE00000AhUBZYA3</v>
      </c>
      <c r="D104" t="s">
        <v>239</v>
      </c>
      <c r="E104" t="s">
        <v>138</v>
      </c>
      <c r="F104" t="s">
        <v>140</v>
      </c>
    </row>
    <row r="105" spans="1:6" x14ac:dyDescent="0.25">
      <c r="A105" t="s">
        <v>240</v>
      </c>
      <c r="B105" t="s">
        <v>32</v>
      </c>
      <c r="C105" t="str">
        <f>VLOOKUP(B105,'Tax Codes'!A$2:D$14,2,FALSE)</f>
        <v>a15WE00000AhUBaYAN</v>
      </c>
      <c r="D105" t="s">
        <v>241</v>
      </c>
      <c r="E105" t="s">
        <v>31</v>
      </c>
      <c r="F105" t="s">
        <v>31</v>
      </c>
    </row>
    <row r="106" spans="1:6" x14ac:dyDescent="0.25">
      <c r="A106" t="s">
        <v>242</v>
      </c>
      <c r="B106" t="s">
        <v>32</v>
      </c>
      <c r="C106" t="str">
        <f>VLOOKUP(B106,'Tax Codes'!A$2:D$14,2,FALSE)</f>
        <v>a15WE00000AhUBaYAN</v>
      </c>
      <c r="D106" t="s">
        <v>243</v>
      </c>
      <c r="E106" t="s">
        <v>31</v>
      </c>
      <c r="F106" t="s">
        <v>31</v>
      </c>
    </row>
    <row r="107" spans="1:6" x14ac:dyDescent="0.25">
      <c r="A107" t="s">
        <v>244</v>
      </c>
      <c r="B107" t="s">
        <v>139</v>
      </c>
      <c r="C107" t="str">
        <f>VLOOKUP(B107,'Tax Codes'!A$2:D$14,2,FALSE)</f>
        <v>a15WE00000AhUBZYA3</v>
      </c>
      <c r="D107" t="s">
        <v>245</v>
      </c>
      <c r="E107" t="s">
        <v>138</v>
      </c>
      <c r="F107" t="s">
        <v>140</v>
      </c>
    </row>
    <row r="108" spans="1:6" x14ac:dyDescent="0.25">
      <c r="A108" t="s">
        <v>246</v>
      </c>
      <c r="B108" t="s">
        <v>134</v>
      </c>
      <c r="C108" t="str">
        <f>VLOOKUP(B108,'Tax Codes'!A$2:D$14,2,FALSE)</f>
        <v>a15WE00000AhUBcYAN</v>
      </c>
      <c r="D108" t="s">
        <v>247</v>
      </c>
      <c r="E108" t="s">
        <v>133</v>
      </c>
      <c r="F108" t="s">
        <v>135</v>
      </c>
    </row>
    <row r="109" spans="1:6" x14ac:dyDescent="0.25">
      <c r="A109" t="s">
        <v>248</v>
      </c>
      <c r="B109" t="s">
        <v>139</v>
      </c>
      <c r="C109" t="str">
        <f>VLOOKUP(B109,'Tax Codes'!A$2:D$14,2,FALSE)</f>
        <v>a15WE00000AhUBZYA3</v>
      </c>
      <c r="D109" t="s">
        <v>190</v>
      </c>
      <c r="E109" t="s">
        <v>138</v>
      </c>
      <c r="F109" t="s">
        <v>140</v>
      </c>
    </row>
    <row r="110" spans="1:6" x14ac:dyDescent="0.25">
      <c r="A110" t="s">
        <v>249</v>
      </c>
      <c r="B110" t="s">
        <v>139</v>
      </c>
      <c r="C110" t="str">
        <f>VLOOKUP(B110,'Tax Codes'!A$2:D$14,2,FALSE)</f>
        <v>a15WE00000AhUBZYA3</v>
      </c>
      <c r="D110" t="s">
        <v>250</v>
      </c>
      <c r="E110" t="s">
        <v>138</v>
      </c>
      <c r="F110" t="s">
        <v>140</v>
      </c>
    </row>
    <row r="111" spans="1:6" x14ac:dyDescent="0.25">
      <c r="A111" t="s">
        <v>251</v>
      </c>
      <c r="B111" t="s">
        <v>139</v>
      </c>
      <c r="C111" t="str">
        <f>VLOOKUP(B111,'Tax Codes'!A$2:D$14,2,FALSE)</f>
        <v>a15WE00000AhUBZYA3</v>
      </c>
      <c r="D111" t="s">
        <v>230</v>
      </c>
      <c r="E111" t="s">
        <v>138</v>
      </c>
      <c r="F111" t="s">
        <v>140</v>
      </c>
    </row>
    <row r="112" spans="1:6" x14ac:dyDescent="0.25">
      <c r="A112" t="s">
        <v>252</v>
      </c>
      <c r="B112" t="s">
        <v>139</v>
      </c>
      <c r="C112" t="str">
        <f>VLOOKUP(B112,'Tax Codes'!A$2:D$14,2,FALSE)</f>
        <v>a15WE00000AhUBZYA3</v>
      </c>
      <c r="D112" t="s">
        <v>253</v>
      </c>
      <c r="E112" t="s">
        <v>138</v>
      </c>
      <c r="F112" t="s">
        <v>140</v>
      </c>
    </row>
    <row r="113" spans="1:6" x14ac:dyDescent="0.25">
      <c r="A113" t="s">
        <v>254</v>
      </c>
      <c r="B113" t="s">
        <v>134</v>
      </c>
      <c r="C113" t="str">
        <f>VLOOKUP(B113,'Tax Codes'!A$2:D$14,2,FALSE)</f>
        <v>a15WE00000AhUBcYAN</v>
      </c>
      <c r="D113" t="s">
        <v>255</v>
      </c>
      <c r="E113" t="s">
        <v>133</v>
      </c>
      <c r="F113" t="s">
        <v>135</v>
      </c>
    </row>
    <row r="114" spans="1:6" x14ac:dyDescent="0.25">
      <c r="A114" t="s">
        <v>256</v>
      </c>
      <c r="B114" t="s">
        <v>139</v>
      </c>
      <c r="C114" t="str">
        <f>VLOOKUP(B114,'Tax Codes'!A$2:D$14,2,FALSE)</f>
        <v>a15WE00000AhUBZYA3</v>
      </c>
      <c r="D114" t="s">
        <v>257</v>
      </c>
      <c r="E114" t="s">
        <v>138</v>
      </c>
      <c r="F114" t="s">
        <v>140</v>
      </c>
    </row>
    <row r="115" spans="1:6" x14ac:dyDescent="0.25">
      <c r="A115" t="s">
        <v>258</v>
      </c>
      <c r="B115" t="s">
        <v>139</v>
      </c>
      <c r="C115" t="str">
        <f>VLOOKUP(B115,'Tax Codes'!A$2:D$14,2,FALSE)</f>
        <v>a15WE00000AhUBZYA3</v>
      </c>
      <c r="D115" t="s">
        <v>259</v>
      </c>
      <c r="E115" t="s">
        <v>138</v>
      </c>
      <c r="F115" t="s">
        <v>140</v>
      </c>
    </row>
    <row r="116" spans="1:6" x14ac:dyDescent="0.25">
      <c r="A116" t="s">
        <v>260</v>
      </c>
      <c r="B116" t="s">
        <v>139</v>
      </c>
      <c r="C116" t="str">
        <f>VLOOKUP(B116,'Tax Codes'!A$2:D$14,2,FALSE)</f>
        <v>a15WE00000AhUBZYA3</v>
      </c>
      <c r="D116" t="s">
        <v>261</v>
      </c>
      <c r="E116" t="s">
        <v>138</v>
      </c>
      <c r="F116" t="s">
        <v>140</v>
      </c>
    </row>
    <row r="117" spans="1:6" x14ac:dyDescent="0.25">
      <c r="A117" t="s">
        <v>262</v>
      </c>
      <c r="B117" t="s">
        <v>139</v>
      </c>
      <c r="C117" t="str">
        <f>VLOOKUP(B117,'Tax Codes'!A$2:D$14,2,FALSE)</f>
        <v>a15WE00000AhUBZYA3</v>
      </c>
      <c r="D117" t="s">
        <v>263</v>
      </c>
      <c r="E117" t="s">
        <v>138</v>
      </c>
      <c r="F117" t="s">
        <v>140</v>
      </c>
    </row>
    <row r="118" spans="1:6" x14ac:dyDescent="0.25">
      <c r="A118" t="s">
        <v>264</v>
      </c>
      <c r="B118" t="s">
        <v>139</v>
      </c>
      <c r="C118" t="str">
        <f>VLOOKUP(B118,'Tax Codes'!A$2:D$14,2,FALSE)</f>
        <v>a15WE00000AhUBZYA3</v>
      </c>
      <c r="D118" t="s">
        <v>265</v>
      </c>
      <c r="E118" t="s">
        <v>138</v>
      </c>
      <c r="F118" t="s">
        <v>140</v>
      </c>
    </row>
    <row r="119" spans="1:6" x14ac:dyDescent="0.25">
      <c r="A119" t="s">
        <v>266</v>
      </c>
      <c r="B119" t="s">
        <v>134</v>
      </c>
      <c r="C119" t="str">
        <f>VLOOKUP(B119,'Tax Codes'!A$2:D$14,2,FALSE)</f>
        <v>a15WE00000AhUBcYAN</v>
      </c>
      <c r="D119" t="s">
        <v>267</v>
      </c>
      <c r="E119" t="s">
        <v>133</v>
      </c>
      <c r="F119" t="s">
        <v>135</v>
      </c>
    </row>
    <row r="120" spans="1:6" x14ac:dyDescent="0.25">
      <c r="A120" t="s">
        <v>268</v>
      </c>
      <c r="B120" t="s">
        <v>139</v>
      </c>
      <c r="C120" t="str">
        <f>VLOOKUP(B120,'Tax Codes'!A$2:D$14,2,FALSE)</f>
        <v>a15WE00000AhUBZYA3</v>
      </c>
      <c r="D120" t="s">
        <v>269</v>
      </c>
      <c r="E120" t="s">
        <v>138</v>
      </c>
      <c r="F120" t="s">
        <v>140</v>
      </c>
    </row>
    <row r="121" spans="1:6" x14ac:dyDescent="0.25">
      <c r="A121" t="s">
        <v>270</v>
      </c>
      <c r="B121" t="s">
        <v>134</v>
      </c>
      <c r="C121" t="str">
        <f>VLOOKUP(B121,'Tax Codes'!A$2:D$14,2,FALSE)</f>
        <v>a15WE00000AhUBcYAN</v>
      </c>
      <c r="D121" t="s">
        <v>271</v>
      </c>
      <c r="E121" t="s">
        <v>133</v>
      </c>
      <c r="F121" t="s">
        <v>135</v>
      </c>
    </row>
    <row r="122" spans="1:6" x14ac:dyDescent="0.25">
      <c r="A122" t="s">
        <v>272</v>
      </c>
      <c r="B122" t="s">
        <v>139</v>
      </c>
      <c r="C122" t="str">
        <f>VLOOKUP(B122,'Tax Codes'!A$2:D$14,2,FALSE)</f>
        <v>a15WE00000AhUBZYA3</v>
      </c>
      <c r="D122" t="s">
        <v>273</v>
      </c>
      <c r="E122" t="s">
        <v>138</v>
      </c>
      <c r="F122" t="s">
        <v>140</v>
      </c>
    </row>
  </sheetData>
  <autoFilter ref="A1:F122" xr:uid="{03610D79-D67D-4236-87D2-DEA66246ACF3}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D038E-B2D5-4CDC-B24A-F25455C0F7D3}">
  <dimension ref="A1:D14"/>
  <sheetViews>
    <sheetView workbookViewId="0">
      <selection activeCell="G1" sqref="G1:G1048576"/>
    </sheetView>
  </sheetViews>
  <sheetFormatPr defaultRowHeight="15" x14ac:dyDescent="0.25"/>
  <cols>
    <col min="1" max="1" width="19.85546875" style="1" bestFit="1" customWidth="1"/>
    <col min="2" max="2" width="21.7109375" bestFit="1" customWidth="1"/>
    <col min="3" max="3" width="29.140625" bestFit="1" customWidth="1"/>
    <col min="4" max="4" width="63.140625" bestFit="1" customWidth="1"/>
    <col min="9" max="9" width="19.85546875" bestFit="1" customWidth="1"/>
    <col min="10" max="11" width="19.85546875" customWidth="1"/>
    <col min="12" max="12" width="63.140625" bestFit="1" customWidth="1"/>
  </cols>
  <sheetData>
    <row r="1" spans="1:4" x14ac:dyDescent="0.25">
      <c r="A1" t="s">
        <v>275</v>
      </c>
      <c r="B1" t="s">
        <v>274</v>
      </c>
      <c r="C1" t="s">
        <v>290</v>
      </c>
      <c r="D1" t="s">
        <v>291</v>
      </c>
    </row>
    <row r="2" spans="1:4" x14ac:dyDescent="0.25">
      <c r="A2" t="s">
        <v>21</v>
      </c>
      <c r="B2" t="s">
        <v>276</v>
      </c>
      <c r="C2" t="s">
        <v>292</v>
      </c>
      <c r="D2" t="s">
        <v>293</v>
      </c>
    </row>
    <row r="3" spans="1:4" x14ac:dyDescent="0.25">
      <c r="A3" t="s">
        <v>139</v>
      </c>
      <c r="B3" t="s">
        <v>277</v>
      </c>
      <c r="C3" t="s">
        <v>294</v>
      </c>
      <c r="D3" t="s">
        <v>295</v>
      </c>
    </row>
    <row r="4" spans="1:4" x14ac:dyDescent="0.25">
      <c r="A4" t="s">
        <v>32</v>
      </c>
      <c r="B4" t="s">
        <v>278</v>
      </c>
      <c r="C4" t="s">
        <v>296</v>
      </c>
      <c r="D4" t="s">
        <v>296</v>
      </c>
    </row>
    <row r="5" spans="1:4" x14ac:dyDescent="0.25">
      <c r="A5" t="s">
        <v>12</v>
      </c>
      <c r="B5" t="s">
        <v>279</v>
      </c>
      <c r="C5" t="s">
        <v>297</v>
      </c>
      <c r="D5" t="s">
        <v>298</v>
      </c>
    </row>
    <row r="6" spans="1:4" x14ac:dyDescent="0.25">
      <c r="A6" t="s">
        <v>134</v>
      </c>
      <c r="B6" t="s">
        <v>280</v>
      </c>
      <c r="C6" t="s">
        <v>299</v>
      </c>
      <c r="D6" t="s">
        <v>299</v>
      </c>
    </row>
    <row r="7" spans="1:4" x14ac:dyDescent="0.25">
      <c r="A7" t="s">
        <v>42</v>
      </c>
      <c r="B7" t="s">
        <v>281</v>
      </c>
      <c r="C7" t="s">
        <v>300</v>
      </c>
      <c r="D7" t="s">
        <v>300</v>
      </c>
    </row>
    <row r="8" spans="1:4" x14ac:dyDescent="0.25">
      <c r="A8" t="s">
        <v>49</v>
      </c>
      <c r="B8" t="s">
        <v>282</v>
      </c>
      <c r="C8" t="s">
        <v>301</v>
      </c>
      <c r="D8" t="s">
        <v>302</v>
      </c>
    </row>
    <row r="9" spans="1:4" x14ac:dyDescent="0.25">
      <c r="A9" t="s">
        <v>118</v>
      </c>
      <c r="B9" t="s">
        <v>283</v>
      </c>
      <c r="C9" t="s">
        <v>303</v>
      </c>
      <c r="D9" t="s">
        <v>304</v>
      </c>
    </row>
    <row r="10" spans="1:4" x14ac:dyDescent="0.25">
      <c r="A10" t="s">
        <v>7</v>
      </c>
      <c r="B10" t="s">
        <v>284</v>
      </c>
      <c r="C10" t="s">
        <v>305</v>
      </c>
      <c r="D10" t="s">
        <v>306</v>
      </c>
    </row>
    <row r="11" spans="1:4" x14ac:dyDescent="0.25">
      <c r="A11" t="s">
        <v>74</v>
      </c>
      <c r="B11" t="s">
        <v>285</v>
      </c>
      <c r="C11" t="s">
        <v>307</v>
      </c>
      <c r="D11" t="s">
        <v>307</v>
      </c>
    </row>
    <row r="12" spans="1:4" x14ac:dyDescent="0.25">
      <c r="A12" t="s">
        <v>127</v>
      </c>
      <c r="B12" t="s">
        <v>286</v>
      </c>
      <c r="C12" t="s">
        <v>308</v>
      </c>
      <c r="D12" t="s">
        <v>308</v>
      </c>
    </row>
    <row r="13" spans="1:4" x14ac:dyDescent="0.25">
      <c r="A13" t="s">
        <v>89</v>
      </c>
      <c r="B13" t="s">
        <v>287</v>
      </c>
      <c r="C13" t="s">
        <v>309</v>
      </c>
      <c r="D13" t="s">
        <v>310</v>
      </c>
    </row>
    <row r="14" spans="1:4" x14ac:dyDescent="0.25">
      <c r="A14" t="s">
        <v>93</v>
      </c>
      <c r="B14" t="s">
        <v>288</v>
      </c>
      <c r="C14" t="s">
        <v>311</v>
      </c>
      <c r="D14" t="s">
        <v>311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Tax codes mapping</vt:lpstr>
      <vt:lpstr>Tax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Orchid</dc:creator>
  <cp:lastModifiedBy>Matheus Antonio</cp:lastModifiedBy>
  <dcterms:created xsi:type="dcterms:W3CDTF">2026-05-14T17:42:45Z</dcterms:created>
  <dcterms:modified xsi:type="dcterms:W3CDTF">2026-05-14T22:21:17Z</dcterms:modified>
</cp:coreProperties>
</file>